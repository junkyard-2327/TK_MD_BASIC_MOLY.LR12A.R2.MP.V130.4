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2.MP\mcu\pcore\custom\modem\el1_rf\MT6739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<sst xmlns="http://schemas.openxmlformats.org/spreadsheetml/2006/main" count="4786" uniqueCount="1525">
  <si>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</si>
  <si>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</si>
  <si>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</si>
  <si>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</si>
  <si>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</si>
  <si>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</si>
  <si>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</si>
  <si>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</si>
  <si>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</si>
  <si>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</si>
  <si>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</si>
  <si>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</si>
  <si>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</si>
  <si>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</si>
  <si>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</si>
  <si>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</si>
  <si>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</si>
  <si>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</si>
  <si>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</si>
  <si>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</si>
  <si>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</si>
  <si>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</si>
  <si>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</si>
  <si>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</si>
  <si>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</si>
  <si>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</si>
  <si>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</si>
  <si>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</si>
  <si>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</si>
  <si>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</si>
  <si>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</si>
  <si>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</si>
  <si>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</si>
  <si>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</si>
  <si>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</si>
  <si>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</si>
  <si>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</si>
  <si>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</si>
  <si>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</si>
  <si>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</si>
  <si>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</si>
  <si>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</si>
  <si>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</si>
  <si>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</si>
  <si>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</si>
  <si>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</si>
  <si>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</si>
  <si>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</si>
  <si>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</si>
  <si>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</si>
  <si>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</si>
  <si>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</si>
  <si>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</si>
  <si>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</si>
  <si>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</si>
  <si>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</si>
  <si>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</si>
  <si>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</si>
  <si>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</si>
  <si>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</si>
  <si>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</si>
  <si>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</si>
  <si>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</si>
  <si>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</si>
  <si>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</si>
  <si>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</si>
  <si>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</si>
  <si>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</si>
  <si>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</si>
  <si>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</si>
  <si>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</si>
  <si>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</si>
  <si>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</si>
  <si>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</si>
  <si>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</si>
  <si>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</si>
  <si>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</si>
  <si>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</si>
  <si>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</si>
  <si>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</si>
  <si>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</si>
  <si>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</si>
  <si>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</si>
  <si>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</si>
  <si>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</si>
  <si>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</si>
  <si>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</si>
  <si>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</si>
  <si>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</si>
  <si>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</si>
  <si>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</si>
  <si>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</si>
  <si>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</si>
  <si>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</si>
  <si>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</si>
  <si>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</si>
  <si>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</si>
  <si>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</si>
  <si>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</si>
  <si>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</si>
  <si>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</si>
  <si>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</si>
  <si>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</si>
  <si>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</si>
  <si>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</si>
  <si>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</si>
  <si>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</si>
  <si>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</si>
  <si>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</si>
  <si>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</si>
  <si>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</si>
  <si>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</si>
  <si>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</si>
  <si>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</si>
  <si>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</si>
  <si>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</si>
  <si>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</si>
  <si>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</si>
  <si>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</si>
  <si>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</si>
  <si>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</si>
  <si>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</si>
  <si>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</si>
  <si>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</si>
  <si>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</si>
  <si>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</si>
  <si>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</si>
  <si>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</si>
  <si>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</si>
  <si>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</si>
  <si>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</si>
  <si>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</si>
  <si>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</si>
  <si>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</si>
  <si>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</si>
  <si>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</si>
  <si>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</si>
  <si>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</si>
  <si>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</si>
  <si>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</si>
  <si>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</si>
  <si>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</si>
  <si>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</si>
  <si>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</si>
  <si>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</si>
  <si>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</si>
  <si>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</si>
  <si>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</si>
  <si>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</si>
  <si>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</si>
  <si>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</si>
  <si>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</si>
  <si>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</si>
  <si>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</si>
  <si>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</si>
  <si>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</si>
  <si>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</si>
  <si>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</si>
  <si>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</si>
  <si>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</si>
  <si>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</si>
  <si>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</si>
  <si>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</si>
  <si>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</si>
  <si>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</si>
  <si>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</si>
  <si>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</si>
  <si>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</si>
  <si>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</si>
  <si>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2" type="noConversion"/>
  </si>
  <si>
    <t>DL_CC0_FE_Route</t>
    <phoneticPr fontId="12" type="noConversion"/>
  </si>
  <si>
    <t>DL_CC1_FE_Route</t>
    <phoneticPr fontId="12" type="noConversion"/>
  </si>
  <si>
    <t>DL_CC2_FE_Route</t>
    <phoneticPr fontId="12" type="noConversion"/>
  </si>
  <si>
    <t>UL_CC0</t>
    <phoneticPr fontId="12" type="noConversion"/>
  </si>
  <si>
    <t>UL_CC0_FE_Route</t>
    <phoneticPr fontId="12" type="noConversion"/>
  </si>
  <si>
    <t>UL_CC1</t>
    <phoneticPr fontId="12" type="noConversion"/>
  </si>
  <si>
    <t>UL_CC1_FE_Route</t>
    <phoneticPr fontId="12" type="noConversion"/>
  </si>
  <si>
    <t>Enable/Disable</t>
    <phoneticPr fontId="12" type="noConversion"/>
  </si>
  <si>
    <t>TRUE/FALSE</t>
    <phoneticPr fontId="12" type="noConversion"/>
  </si>
  <si>
    <t>Enable</t>
    <phoneticPr fontId="12" type="noConversion"/>
  </si>
  <si>
    <t>Disable</t>
    <phoneticPr fontId="12" type="noConversion"/>
  </si>
  <si>
    <t>LTE_Band</t>
    <phoneticPr fontId="12" type="noConversion"/>
  </si>
  <si>
    <t>RX_IO_SEL</t>
    <phoneticPr fontId="12" type="noConversion"/>
  </si>
  <si>
    <t>RXD_IO_SEL</t>
    <phoneticPr fontId="12" type="noConversion"/>
  </si>
  <si>
    <t>TX_CCA_BAND_support</t>
    <phoneticPr fontId="12" type="noConversion"/>
  </si>
  <si>
    <t>TX_IO_SEL</t>
    <phoneticPr fontId="12" type="noConversion"/>
  </si>
  <si>
    <t>VM_0</t>
    <phoneticPr fontId="12" type="noConversion"/>
  </si>
  <si>
    <t>VM_1</t>
    <phoneticPr fontId="12" type="noConversion"/>
  </si>
  <si>
    <t>PDATA_PR1</t>
    <phoneticPr fontId="12" type="noConversion"/>
  </si>
  <si>
    <t>PDATA_PR2</t>
    <phoneticPr fontId="12" type="noConversion"/>
  </si>
  <si>
    <t>PDATA_PT1</t>
    <phoneticPr fontId="12" type="noConversion"/>
  </si>
  <si>
    <t>PDATA_PT2</t>
    <phoneticPr fontId="12" type="noConversion"/>
  </si>
  <si>
    <t>DRDI_Set</t>
    <phoneticPr fontId="12" type="noConversion"/>
  </si>
  <si>
    <t>BAND_SPLIT_NUM</t>
    <phoneticPr fontId="12" type="noConversion"/>
  </si>
  <si>
    <t>Downlink</t>
    <phoneticPr fontId="11" type="noConversion"/>
  </si>
  <si>
    <t>Uplink</t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</si>
  <si>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</si>
  <si>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</si>
  <si>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</si>
  <si>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</si>
  <si>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</si>
  <si>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</si>
  <si>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</si>
  <si>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t>SKU</t>
    <phoneticPr fontId="12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</si>
  <si>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</si>
  <si>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</si>
  <si>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</si>
  <si>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</si>
  <si>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</si>
  <si>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</si>
  <si>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2" type="noConversion"/>
  </si>
  <si>
    <t>Calibration</t>
    <phoneticPr fontId="12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</si>
  <si>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</si>
  <si>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</si>
  <si>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</si>
  <si>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</si>
  <si>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</si>
  <si>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</si>
  <si>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</si>
  <si>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</si>
  <si>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</si>
  <si>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</si>
  <si>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</si>
  <si>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</si>
  <si>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</si>
  <si>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</si>
  <si>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</si>
  <si>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</si>
  <si>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</si>
  <si>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</si>
  <si>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</si>
  <si>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</si>
  <si>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</si>
  <si>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</si>
  <si>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</si>
  <si>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</si>
  <si>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</si>
  <si>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</si>
  <si>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</si>
  <si>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</si>
  <si>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</si>
  <si>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</si>
  <si>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</si>
  <si>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</si>
  <si>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</si>
  <si>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</si>
  <si>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</si>
  <si>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</si>
  <si>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</si>
  <si>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</si>
  <si>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</si>
  <si>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</si>
  <si>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</si>
  <si>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</si>
  <si>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</si>
  <si>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</si>
  <si>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</si>
  <si>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</si>
  <si>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</si>
  <si>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</si>
  <si>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</si>
  <si>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</si>
  <si>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</si>
  <si>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</si>
  <si>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</si>
  <si>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</si>
  <si>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</si>
  <si>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</si>
  <si>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</si>
  <si>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</si>
  <si>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</si>
  <si>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</si>
  <si>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</si>
  <si>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</si>
  <si>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</si>
  <si>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</si>
  <si>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</si>
  <si>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</si>
  <si>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</si>
  <si>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</si>
  <si>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</si>
  <si>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</si>
  <si>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</si>
  <si>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</si>
  <si>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</si>
  <si>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</si>
  <si>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</si>
  <si>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</si>
  <si>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</si>
  <si>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</si>
  <si>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</si>
  <si>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</si>
  <si>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</si>
  <si>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</si>
  <si>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</si>
  <si>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</si>
  <si>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</si>
  <si>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</si>
  <si>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</si>
  <si>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</si>
  <si>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</si>
  <si>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</si>
  <si>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</si>
  <si>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</si>
  <si>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</si>
  <si>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</si>
  <si>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</si>
  <si>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</si>
  <si>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</si>
  <si>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</si>
  <si>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</si>
  <si>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</si>
  <si>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</si>
  <si>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</si>
  <si>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</si>
  <si>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</si>
  <si>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</si>
  <si>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</si>
  <si>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</si>
  <si>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</si>
  <si>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</si>
  <si>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</si>
  <si>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</si>
  <si>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</si>
  <si>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</si>
  <si>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</si>
  <si>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</si>
  <si>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</si>
  <si>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</si>
  <si>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</si>
  <si>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</si>
  <si>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</si>
  <si>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</si>
  <si>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</si>
  <si>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</si>
  <si>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</si>
  <si>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</si>
  <si>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</si>
  <si>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</si>
  <si>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</si>
  <si>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</si>
  <si>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</si>
  <si>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</si>
  <si>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</si>
  <si>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</si>
  <si>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</si>
  <si>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</si>
  <si>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</si>
  <si>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</si>
  <si>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</si>
  <si>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</si>
  <si>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</si>
  <si>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</si>
  <si>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</si>
  <si>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</si>
  <si>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</si>
  <si>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</si>
  <si>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</si>
  <si>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</si>
  <si>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</si>
  <si>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</si>
  <si>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</si>
  <si>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</si>
  <si>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</si>
  <si>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</si>
  <si>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</si>
  <si>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</si>
  <si>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</si>
  <si>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</si>
  <si>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</si>
  <si>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</si>
  <si>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</si>
  <si>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</si>
  <si>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</si>
  <si>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</si>
  <si>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</si>
  <si>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</si>
  <si>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</si>
  <si>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</si>
  <si>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</si>
  <si>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</si>
  <si>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</si>
  <si>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</si>
  <si>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</si>
  <si>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</si>
  <si>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</si>
  <si>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</si>
  <si>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</si>
  <si>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</si>
  <si>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</si>
  <si>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</si>
  <si>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</si>
  <si>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</si>
  <si>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</si>
  <si>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</si>
  <si>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</si>
  <si>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</si>
  <si>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</si>
  <si>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</si>
  <si>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</si>
  <si>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</si>
  <si>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</si>
  <si>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</si>
  <si>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</si>
  <si>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</si>
  <si>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</si>
  <si>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</si>
  <si>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</si>
  <si>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</si>
  <si>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</si>
  <si>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</si>
  <si>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</si>
  <si>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</si>
  <si>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</si>
  <si>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</si>
  <si>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</si>
  <si>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</si>
  <si>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</si>
  <si>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</si>
  <si>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</si>
  <si>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</si>
  <si>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</si>
  <si>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</si>
  <si>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</si>
  <si>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</si>
  <si>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</si>
  <si>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</si>
  <si>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</si>
  <si>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</si>
  <si>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</si>
  <si>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</si>
  <si>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</si>
  <si>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</si>
  <si>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</si>
  <si>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</si>
  <si>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</si>
  <si>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</si>
  <si>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</si>
  <si>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</si>
  <si>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</si>
  <si>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</si>
  <si>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</si>
  <si>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</si>
  <si>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</si>
  <si>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</si>
  <si>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</si>
  <si>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</si>
  <si>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</si>
  <si>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</si>
  <si>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</si>
  <si>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</si>
  <si>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</si>
  <si>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</si>
  <si>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</si>
  <si>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</si>
  <si>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</si>
  <si>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</si>
  <si>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</si>
  <si>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</si>
  <si>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</si>
  <si>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</si>
  <si>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</si>
  <si>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</si>
  <si>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</si>
  <si>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</si>
  <si>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</si>
  <si>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</si>
  <si>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</si>
  <si>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</si>
  <si>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</si>
  <si>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</si>
  <si>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</si>
  <si>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</si>
  <si>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</si>
  <si>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</si>
  <si>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</si>
  <si>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</si>
  <si>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</si>
  <si>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</si>
  <si>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</si>
  <si>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</si>
  <si>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</si>
  <si>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</si>
  <si>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</si>
  <si>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</si>
  <si>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</si>
  <si>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</si>
  <si>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</si>
  <si>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</si>
  <si>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</si>
  <si>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</si>
  <si>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</si>
  <si>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</si>
  <si>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</si>
  <si>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</si>
  <si>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</si>
  <si>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</si>
  <si>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</si>
  <si>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</si>
  <si>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</si>
  <si>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</si>
  <si>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</si>
  <si>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</si>
  <si>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</si>
  <si>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</si>
  <si>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</si>
  <si>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</si>
  <si>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</si>
  <si>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</si>
  <si>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</si>
  <si>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</si>
  <si>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</si>
  <si>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</si>
  <si>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</si>
  <si>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</si>
  <si>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</si>
  <si>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</si>
  <si>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</si>
  <si>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</si>
  <si>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</si>
  <si>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</si>
  <si>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</si>
  <si>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</si>
  <si>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</si>
  <si>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</si>
  <si>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</si>
  <si>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</si>
  <si>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</si>
  <si>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</si>
  <si>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</si>
  <si>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</si>
  <si>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</si>
  <si>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</si>
  <si>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</si>
  <si>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</si>
  <si>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</si>
  <si>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</si>
  <si>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</si>
  <si>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</si>
  <si>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</si>
  <si>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</si>
  <si>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</si>
  <si>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</si>
  <si>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</si>
  <si>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</si>
  <si>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</si>
  <si>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</si>
  <si>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</si>
  <si>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</si>
  <si>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</si>
  <si>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</si>
  <si>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</si>
  <si>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</si>
  <si>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</si>
  <si>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</si>
  <si>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</si>
  <si>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</si>
  <si>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</si>
  <si>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</si>
  <si>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</si>
  <si>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</si>
  <si>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</si>
  <si>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</si>
  <si>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</si>
  <si>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</si>
  <si>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</si>
  <si>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</si>
  <si>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</si>
  <si>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</si>
  <si>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</si>
  <si>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</si>
  <si>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</si>
  <si>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</si>
  <si>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</si>
  <si>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</si>
  <si>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</si>
  <si>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</si>
  <si>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</si>
  <si>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</si>
  <si>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</si>
  <si>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</si>
  <si>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</si>
  <si>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</si>
  <si>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</si>
  <si>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</si>
  <si>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</si>
  <si>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</si>
  <si>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</si>
  <si>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</si>
  <si>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</si>
  <si>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</si>
  <si>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</si>
  <si>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</si>
  <si>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</si>
  <si>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</si>
  <si>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</si>
  <si>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</si>
  <si>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</si>
  <si>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</si>
  <si>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</si>
  <si>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</si>
  <si>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</si>
  <si>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</si>
  <si>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</si>
  <si>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</si>
  <si>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</si>
  <si>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</si>
  <si>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</si>
  <si>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</si>
  <si>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</si>
  <si>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</si>
  <si>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</si>
  <si>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</si>
  <si>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</si>
  <si>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</si>
  <si>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</si>
  <si>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</si>
  <si>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</si>
  <si>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</si>
  <si>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</si>
  <si>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</si>
  <si>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</si>
  <si>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</si>
  <si>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</si>
  <si>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</si>
  <si>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</si>
  <si>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</si>
  <si>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</si>
  <si>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</si>
  <si>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</si>
  <si>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</si>
  <si>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</si>
  <si>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</si>
  <si>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</si>
  <si>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</si>
  <si>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</si>
  <si>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</si>
  <si>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</si>
  <si>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</si>
  <si>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</si>
  <si>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</si>
  <si>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</si>
  <si>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</si>
  <si>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</si>
  <si>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</si>
  <si>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</si>
  <si>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</si>
  <si>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</si>
  <si>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</si>
  <si>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</si>
  <si>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</si>
  <si>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</si>
  <si>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</si>
  <si>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</si>
  <si>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</si>
  <si>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</si>
  <si>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</si>
  <si>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</si>
  <si>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</si>
  <si>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</si>
  <si>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</si>
  <si>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</si>
  <si>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</si>
  <si>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</si>
  <si>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</si>
  <si>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</si>
  <si>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</si>
  <si>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</si>
  <si>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</si>
  <si>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</si>
  <si>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</si>
  <si>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</si>
  <si>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</si>
  <si>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</si>
  <si>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</si>
  <si>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</si>
  <si>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</si>
  <si>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</si>
  <si>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</si>
  <si>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</si>
  <si>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</si>
  <si>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</si>
  <si>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</si>
  <si>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</si>
  <si>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</si>
  <si>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</si>
  <si>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LTE_MIPI_EVENT_TABLE_T</t>
  </si>
  <si>
    <t>LTE_BandNone_MIPI_ANTRX_EVENT[]</t>
  </si>
  <si>
    <t>variable_name(Append SetX)</t>
  </si>
  <si>
    <t>lte_custom_mipi_ant_ref.c</t>
  </si>
  <si>
    <t>LTE_MIPI_DATA_SUBBAND_TABLE_T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</si>
  <si>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</si>
  <si>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</si>
  <si>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</si>
  <si>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</si>
  <si>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</si>
  <si>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</si>
  <si>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</si>
  <si>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</si>
  <si>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</si>
  <si>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</si>
  <si>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</si>
  <si>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</si>
  <si>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</si>
  <si>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</si>
  <si>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</si>
  <si>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</si>
  <si>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</si>
  <si>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</si>
  <si>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</si>
  <si>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</si>
  <si>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</si>
  <si>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</si>
  <si>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</si>
  <si>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</si>
  <si>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</si>
  <si>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</si>
  <si>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</si>
  <si>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</si>
  <si>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</si>
  <si>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</si>
  <si>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</si>
  <si>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</si>
  <si>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</si>
  <si>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</si>
  <si>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</si>
  <si>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</si>
  <si>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</si>
  <si>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</si>
  <si>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</si>
  <si>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</si>
  <si>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</si>
  <si>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</si>
  <si>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</si>
  <si>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</si>
  <si>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</si>
  <si>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</si>
  <si>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</si>
  <si>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</si>
  <si>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</si>
  <si>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</si>
  <si>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</si>
  <si>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</si>
  <si>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</si>
  <si>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</si>
  <si>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</si>
  <si>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</si>
  <si>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</si>
  <si>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</si>
  <si>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</si>
  <si>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</si>
  <si>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</si>
  <si>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</si>
  <si>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</si>
  <si>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</si>
  <si>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</si>
  <si>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</si>
  <si>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</si>
  <si>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</si>
  <si>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</si>
  <si>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</si>
  <si>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</si>
  <si>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</si>
  <si>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</si>
  <si>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</si>
  <si>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</si>
  <si>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</si>
  <si>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</si>
  <si>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</si>
  <si>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</si>
  <si>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</si>
  <si>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</si>
  <si>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</si>
  <si>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</si>
  <si>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</si>
  <si>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</si>
  <si>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</si>
  <si>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</si>
  <si>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</si>
  <si>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</si>
  <si>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</si>
  <si>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</si>
  <si>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</si>
  <si>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</si>
  <si>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</si>
  <si>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</si>
  <si>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</si>
  <si>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</si>
  <si>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</si>
  <si>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</si>
  <si>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</si>
  <si>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</si>
  <si>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</si>
  <si>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</si>
  <si>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</si>
  <si>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</si>
  <si>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</si>
  <si>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</si>
  <si>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</si>
  <si>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</si>
  <si>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</si>
  <si>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</si>
  <si>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</si>
  <si>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</si>
  <si>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</si>
  <si>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</si>
  <si>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</si>
  <si>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</si>
  <si>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</si>
  <si>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</si>
  <si>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</si>
  <si>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</si>
  <si>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</si>
  <si>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</si>
  <si>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</si>
  <si>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</si>
  <si>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</si>
  <si>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</si>
  <si>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</si>
  <si>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</si>
  <si>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</si>
  <si>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</si>
  <si>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</si>
  <si>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</si>
  <si>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</si>
  <si>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</si>
  <si>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</si>
  <si>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</si>
  <si>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</si>
  <si>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</si>
  <si>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</si>
  <si>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</si>
  <si>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</si>
  <si>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</si>
  <si>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</si>
  <si>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</si>
  <si>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</si>
  <si>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</si>
  <si>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</si>
  <si>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</si>
  <si>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</si>
  <si>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</si>
  <si>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</si>
  <si>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</si>
  <si>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</si>
  <si>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</si>
  <si>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</si>
  <si>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</si>
  <si>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</si>
  <si>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</si>
  <si>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</si>
  <si>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</si>
  <si>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</si>
  <si>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</si>
  <si>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</si>
  <si>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</si>
  <si>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</si>
  <si>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</si>
  <si>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</si>
  <si>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</si>
  <si>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</si>
  <si>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</si>
  <si>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</si>
  <si>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</si>
  <si>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</si>
  <si>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</si>
  <si>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</si>
  <si>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</si>
  <si>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</si>
  <si>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</si>
  <si>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1" type="noConversion"/>
  </si>
  <si>
    <t>LTE_TAS_FE_NULL</t>
    <phoneticPr fontId="11" type="noConversion"/>
  </si>
  <si>
    <t>UL_CC0_TAS_FE_ROUTE</t>
    <phoneticPr fontId="11" type="noConversion"/>
  </si>
  <si>
    <t>DL_CC0_TAS_FE_ROUTE</t>
    <phoneticPr fontId="11" type="noConversion"/>
  </si>
  <si>
    <t>UL_CC0_Route</t>
    <phoneticPr fontId="11" type="noConversion"/>
  </si>
  <si>
    <t>DL_CC0_Route</t>
    <phoneticPr fontId="11" type="noConversion"/>
  </si>
  <si>
    <t>DL_CC1_Route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</si>
  <si>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</si>
  <si>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</si>
  <si>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</si>
  <si>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</si>
  <si>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</si>
  <si>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</si>
  <si>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</si>
  <si>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</si>
  <si>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</si>
  <si>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</si>
  <si>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</si>
  <si>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</si>
  <si>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</si>
  <si>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</si>
  <si>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</si>
  <si>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</si>
  <si>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</si>
  <si>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</si>
  <si>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</si>
  <si>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</si>
  <si>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</si>
  <si>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</si>
  <si>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</si>
  <si>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</si>
  <si>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</si>
  <si>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</si>
  <si>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</si>
  <si>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</si>
  <si>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</si>
  <si>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</si>
  <si>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</si>
  <si>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</si>
  <si>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</si>
  <si>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</si>
  <si>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</si>
  <si>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</si>
  <si>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</si>
  <si>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</si>
  <si>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</si>
  <si>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</si>
  <si>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</si>
  <si>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</si>
  <si>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</si>
  <si>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</si>
  <si>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</si>
  <si>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</si>
  <si>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</si>
  <si>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</si>
  <si>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</si>
  <si>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</si>
  <si>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</si>
  <si>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</si>
  <si>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</si>
  <si>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</si>
  <si>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</si>
  <si>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</si>
  <si>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</si>
  <si>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</si>
  <si>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</si>
  <si>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</si>
  <si>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</si>
  <si>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</si>
  <si>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</si>
  <si>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</si>
  <si>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</si>
  <si>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1" type="noConversion"/>
  </si>
  <si>
    <t>PDATA_LTE_BandNone_1_PFREQ</t>
    <phoneticPr fontId="11" type="noConversion"/>
  </si>
  <si>
    <t>0</t>
    <phoneticPr fontId="11" type="noConversion"/>
  </si>
  <si>
    <t>PDATA_LTE_BandNone_1_PRANT</t>
    <phoneticPr fontId="11" type="noConversion"/>
  </si>
  <si>
    <t>PDATA_LTE_BandNone_1_PTANT</t>
    <phoneticPr fontId="11" type="noConversion"/>
  </si>
  <si>
    <t>PDATA_LTE_BandNone_2_PFREQ</t>
    <phoneticPr fontId="11" type="noConversion"/>
  </si>
  <si>
    <t>PDATA_LTE_BandNone_2_PRANT</t>
    <phoneticPr fontId="11" type="noConversion"/>
  </si>
  <si>
    <t>PDATA_LTE_BandNone_2_PTANT</t>
    <phoneticPr fontId="11" type="noConversion"/>
  </si>
  <si>
    <t>PDATA_LTE_BandNone_3_PFREQ</t>
    <phoneticPr fontId="11" type="noConversion"/>
  </si>
  <si>
    <t>PDATA_LTE_BandNone_3_PRANT</t>
    <phoneticPr fontId="11" type="noConversion"/>
  </si>
  <si>
    <t>PDATA_LTE_BandNone_3_PTANT</t>
    <phoneticPr fontId="11" type="noConversion"/>
  </si>
  <si>
    <t>PDATA_LTE_BandNone_4_PFREQ</t>
    <phoneticPr fontId="11" type="noConversion"/>
  </si>
  <si>
    <t>PDATA_LTE_BandNone_4_PRANT</t>
    <phoneticPr fontId="11" type="noConversion"/>
  </si>
  <si>
    <t>PDATA_LTE_BandNone_4_PTANT</t>
    <phoneticPr fontId="11" type="noConversion"/>
  </si>
  <si>
    <t>PDATA_LTE_BandNone_5_PFREQ</t>
    <phoneticPr fontId="11" type="noConversion"/>
  </si>
  <si>
    <t>PDATA_LTE_BandNone_5_PRANT</t>
    <phoneticPr fontId="11" type="noConversion"/>
  </si>
  <si>
    <t>PDATA_LTE_BandNone_5_PTANT</t>
    <phoneticPr fontId="11" type="noConversion"/>
  </si>
  <si>
    <t>ANT ROUTE SETTING</t>
    <phoneticPr fontId="12" type="noConversion"/>
  </si>
  <si>
    <t>TAS ROUTE SETTING</t>
    <phoneticPr fontId="12" type="noConversion"/>
  </si>
  <si>
    <t>ANT ROUTE SETTING</t>
    <phoneticPr fontId="12" type="noConversion"/>
  </si>
  <si>
    <t>TAS ROUTE SETTING</t>
    <phoneticPr fontId="12" type="noConversion"/>
  </si>
  <si>
    <t>MISC</t>
    <phoneticPr fontId="11" type="noConversion"/>
  </si>
  <si>
    <t>Partial Band setting</t>
  </si>
  <si>
    <t>Band_Partial_Indicator_ID</t>
  </si>
  <si>
    <t>(LTE_BAND)</t>
    <phoneticPr fontId="11" type="noConversion"/>
  </si>
  <si>
    <t>START(frequency range start, 100KHz)</t>
    <phoneticPr fontId="11" type="noConversion"/>
  </si>
  <si>
    <t>END(frequency range end, 100KHz)</t>
    <phoneticPr fontId="11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</si>
  <si>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</si>
  <si>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</si>
  <si>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</si>
  <si>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</si>
  <si>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</si>
  <si>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</si>
  <si>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</si>
  <si>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</si>
  <si>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</si>
  <si>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</si>
  <si>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</si>
  <si>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</si>
  <si>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</si>
  <si>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</si>
  <si>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</si>
  <si>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</si>
  <si>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</si>
  <si>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</si>
  <si>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</si>
  <si>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</si>
  <si>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</si>
  <si>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</si>
  <si>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</si>
  <si>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</si>
  <si>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</si>
  <si>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</si>
  <si>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</si>
  <si>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</si>
  <si>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</si>
  <si>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</si>
  <si>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</si>
  <si>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</si>
  <si>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</si>
  <si>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</si>
  <si>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</si>
  <si>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</si>
  <si>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</si>
  <si>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</si>
  <si>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</si>
  <si>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</si>
  <si>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</si>
  <si>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</si>
  <si>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</si>
  <si>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</si>
  <si>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</si>
  <si>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</si>
  <si>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</si>
  <si>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1" type="noConversion"/>
  </si>
  <si>
    <t>Band HPUE setting</t>
  </si>
  <si>
    <t>Band_HPUE_INDICATOR0_Indicator_ID</t>
  </si>
  <si>
    <t>BAND_HPUE_INDICATOR0</t>
    <phoneticPr fontId="11" type="noConversion"/>
  </si>
  <si>
    <t>BAND_HPUE_INDICATOR1</t>
    <phoneticPr fontId="11" type="noConversion"/>
  </si>
  <si>
    <t>BAND_HPUE_INDICATOR2</t>
    <phoneticPr fontId="11" type="noConversion"/>
  </si>
  <si>
    <t>BAND_HPUE_INDICATOR3</t>
    <phoneticPr fontId="11" type="noConversion"/>
  </si>
  <si>
    <t>BAND_HPUE_INDICATOR4</t>
    <phoneticPr fontId="11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</si>
  <si>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</si>
  <si>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</si>
  <si>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</si>
  <si>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</si>
  <si>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</si>
  <si>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</si>
  <si>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</si>
  <si>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</si>
  <si>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</si>
  <si>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</si>
  <si>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</si>
  <si>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</si>
  <si>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</si>
  <si>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</si>
  <si>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</si>
  <si>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</si>
  <si>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</si>
  <si>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</si>
  <si>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</si>
  <si>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</si>
  <si>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</si>
  <si>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</si>
  <si>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</si>
  <si>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</si>
  <si>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</si>
  <si>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</si>
  <si>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</si>
  <si>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</si>
  <si>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</si>
  <si>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</si>
  <si>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</si>
  <si>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</si>
  <si>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</si>
  <si>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</si>
  <si>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</si>
  <si>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</si>
  <si>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</si>
  <si>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</si>
  <si>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</si>
  <si>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</si>
  <si>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</si>
  <si>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</si>
  <si>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</si>
  <si>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</si>
  <si>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</si>
  <si>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</si>
  <si>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</si>
  <si>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</si>
  <si>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</si>
  <si>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</si>
  <si>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</si>
  <si>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</si>
  <si>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</si>
  <si>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</si>
  <si>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</si>
  <si>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</si>
  <si>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</si>
  <si>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</si>
  <si>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</si>
  <si>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</si>
  <si>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</si>
  <si>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</si>
  <si>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</si>
  <si>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</si>
  <si>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</si>
  <si>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</si>
  <si>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</si>
  <si>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</si>
  <si>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</si>
  <si>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</si>
  <si>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</si>
  <si>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</si>
  <si>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</si>
  <si>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</si>
  <si>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</si>
  <si>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</si>
  <si>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</si>
  <si>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</si>
  <si>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</si>
  <si>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</si>
  <si>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</si>
  <si>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</si>
  <si>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</si>
  <si>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</si>
  <si>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</si>
  <si>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</si>
  <si>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</si>
  <si>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</si>
  <si>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</si>
  <si>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</si>
  <si>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</si>
  <si>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</si>
  <si>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</si>
  <si>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</si>
  <si>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</si>
  <si>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</si>
  <si>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</si>
  <si>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</si>
  <si>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</si>
  <si>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</si>
  <si>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</si>
  <si>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</si>
  <si>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</si>
  <si>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</si>
  <si>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</si>
  <si>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</si>
  <si>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</si>
  <si>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</si>
  <si>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</si>
  <si>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</si>
  <si>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</si>
  <si>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</si>
  <si>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</si>
  <si>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</si>
  <si>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</si>
  <si>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</si>
  <si>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</si>
  <si>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</si>
  <si>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</si>
  <si>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</si>
  <si>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</si>
  <si>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</si>
  <si>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</si>
  <si>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</si>
  <si>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</si>
  <si>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</si>
  <si>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</si>
  <si>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</si>
  <si>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</si>
  <si>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</si>
  <si>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</si>
  <si>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</si>
  <si>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</si>
  <si>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</si>
  <si>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</si>
  <si>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</si>
  <si>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</si>
  <si>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</si>
  <si>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</si>
  <si>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</si>
  <si>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</si>
  <si>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</si>
  <si>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</si>
  <si>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</si>
  <si>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</si>
  <si>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</si>
  <si>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</si>
  <si>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</si>
  <si>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</si>
  <si>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</si>
  <si>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</si>
  <si>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</si>
  <si>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</si>
  <si>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</si>
  <si>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</si>
  <si>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</si>
  <si>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</si>
  <si>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</si>
  <si>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</si>
  <si>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</si>
  <si>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</si>
  <si>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</si>
  <si>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</si>
  <si>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</si>
  <si>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</si>
  <si>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</si>
  <si>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</si>
  <si>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</si>
  <si>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</si>
  <si>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</si>
  <si>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</si>
  <si>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</si>
  <si>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</si>
  <si>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</si>
  <si>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</si>
  <si>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</si>
  <si>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</si>
  <si>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</si>
  <si>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</si>
  <si>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</si>
  <si>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</si>
  <si>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</si>
  <si>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</si>
  <si>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</si>
  <si>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</si>
  <si>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</si>
  <si>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</si>
  <si>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</si>
  <si>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</si>
  <si>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</si>
  <si>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</si>
  <si>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</si>
  <si>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</si>
  <si>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</si>
  <si>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</si>
  <si>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</si>
  <si>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</si>
  <si>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</si>
  <si>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</si>
  <si>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</si>
  <si>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</si>
  <si>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</si>
  <si>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</si>
  <si>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</si>
  <si>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</si>
  <si>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</si>
  <si>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</si>
  <si>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</si>
  <si>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</si>
  <si>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</si>
  <si>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</si>
  <si>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</si>
  <si>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</si>
  <si>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</si>
  <si>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</si>
  <si>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</si>
  <si>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</si>
  <si>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</si>
  <si>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</si>
  <si>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</si>
  <si>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</si>
  <si>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</si>
  <si>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</si>
  <si>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</si>
  <si>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</si>
  <si>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</si>
  <si>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</si>
  <si>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</si>
  <si>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</si>
  <si>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</si>
  <si>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</si>
  <si>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</si>
  <si>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</si>
  <si>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</si>
  <si>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</si>
  <si>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</si>
  <si>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</si>
  <si>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</si>
  <si>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</si>
  <si>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</si>
  <si>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</si>
  <si>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</si>
  <si>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</si>
  <si>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</si>
  <si>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</si>
  <si>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</si>
  <si>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</si>
  <si>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</si>
  <si>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</si>
  <si>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</si>
  <si>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</si>
  <si>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</si>
  <si>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</si>
  <si>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</si>
  <si>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</si>
  <si>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</si>
  <si>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</si>
  <si>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</si>
  <si>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</si>
  <si>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</si>
  <si>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</si>
  <si>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</si>
  <si>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</si>
  <si>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</si>
  <si>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</si>
  <si>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</si>
  <si>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</si>
  <si>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</si>
  <si>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</si>
  <si>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</si>
  <si>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</si>
  <si>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</si>
  <si>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</si>
  <si>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</si>
  <si>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</si>
  <si>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</si>
  <si>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</si>
  <si>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</si>
  <si>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</si>
  <si>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</si>
  <si>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</si>
  <si>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</si>
  <si>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</si>
  <si>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</si>
  <si>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</si>
  <si>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</si>
  <si>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</si>
  <si>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</si>
  <si>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</si>
  <si>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</si>
  <si>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</si>
  <si>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</si>
  <si>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</si>
  <si>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</si>
  <si>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</si>
  <si>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</si>
  <si>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</si>
  <si>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</si>
  <si>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</si>
  <si>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</si>
  <si>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</si>
  <si>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</si>
  <si>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</si>
  <si>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</si>
  <si>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</si>
  <si>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</si>
  <si>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</si>
  <si>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</si>
  <si>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</si>
  <si>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</si>
  <si>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</si>
  <si>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</si>
  <si>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</si>
  <si>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</si>
  <si>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</si>
  <si>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</si>
  <si>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</si>
  <si>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</si>
  <si>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</si>
  <si>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</si>
  <si>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</si>
  <si>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</si>
  <si>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</si>
  <si>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</si>
  <si>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</si>
  <si>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1" type="noConversion"/>
  </si>
  <si>
    <t>Excel template version</t>
    <phoneticPr fontId="11" type="noConversion"/>
  </si>
  <si>
    <t>ChangeHistory</t>
    <phoneticPr fontId="11" type="noConversion"/>
  </si>
  <si>
    <t>Date</t>
    <phoneticPr fontId="11" type="noConversion"/>
  </si>
  <si>
    <t>Sheet</t>
    <phoneticPr fontId="11" type="noConversion"/>
  </si>
  <si>
    <t>LTE TRX route</t>
    <phoneticPr fontId="11" type="noConversion"/>
  </si>
  <si>
    <t>LTE Band split</t>
    <phoneticPr fontId="11" type="noConversion"/>
  </si>
  <si>
    <t>LTE_Band_filter</t>
    <phoneticPr fontId="11" type="noConversion"/>
  </si>
  <si>
    <t>LTE_Band_partial</t>
    <phoneticPr fontId="11" type="noConversion"/>
  </si>
  <si>
    <t>ANT_Tuner</t>
    <phoneticPr fontId="11" type="noConversion"/>
  </si>
  <si>
    <t>TAS</t>
    <phoneticPr fontId="11" type="noConversion"/>
  </si>
  <si>
    <t>CA_capability</t>
    <phoneticPr fontId="11" type="noConversion"/>
  </si>
  <si>
    <t>6/7/2017</t>
    <phoneticPr fontId="11" type="noConversion"/>
  </si>
  <si>
    <t>6/12/2017</t>
    <phoneticPr fontId="11" type="noConversion"/>
  </si>
  <si>
    <t>add new CA (8A_38A, 26A_28A, 26A_41A, 28A_38A)</t>
    <phoneticPr fontId="11" type="noConversion"/>
  </si>
  <si>
    <t>6/19/2017</t>
    <phoneticPr fontId="11" type="noConversion"/>
  </si>
  <si>
    <t>DPD</t>
    <phoneticPr fontId="11" type="noConversion"/>
  </si>
  <si>
    <t>6/27/2017</t>
    <phoneticPr fontId="11" type="noConversion"/>
  </si>
  <si>
    <t>HPUE</t>
    <phoneticPr fontId="11" type="noConversion"/>
  </si>
  <si>
    <t>new sheet</t>
    <phoneticPr fontId="11" type="noConversion"/>
  </si>
  <si>
    <t>Number</t>
    <phoneticPr fontId="11" type="noConversion"/>
  </si>
  <si>
    <t>LTE TRX route</t>
    <phoneticPr fontId="11" type="noConversion"/>
  </si>
  <si>
    <t>Tool Version (Do not change)</t>
    <phoneticPr fontId="11" type="noConversion"/>
  </si>
  <si>
    <t>SingleBand Setting</t>
    <phoneticPr fontId="11" type="noConversion"/>
  </si>
  <si>
    <t>Alternate RX SETTING</t>
    <phoneticPr fontId="11" type="noConversion"/>
  </si>
  <si>
    <t>Alternate TX SETTING</t>
    <phoneticPr fontId="11" type="noConversion"/>
  </si>
  <si>
    <t>LTE Band split</t>
    <phoneticPr fontId="11" type="noConversion"/>
  </si>
  <si>
    <t>Band Split setting</t>
    <phoneticPr fontId="11" type="noConversion"/>
  </si>
  <si>
    <t>LTE_Band_filter</t>
    <phoneticPr fontId="11" type="noConversion"/>
  </si>
  <si>
    <t>Band Filter setting</t>
    <phoneticPr fontId="11" type="noConversion"/>
  </si>
  <si>
    <t>LTE_Band_partial</t>
    <phoneticPr fontId="11" type="noConversion"/>
  </si>
  <si>
    <t>Partial Band setting</t>
    <phoneticPr fontId="11" type="noConversion"/>
  </si>
  <si>
    <t>ANT_Tuner</t>
    <phoneticPr fontId="11" type="noConversion"/>
  </si>
  <si>
    <t>IS_OLAT_ENABLE</t>
    <phoneticPr fontId="11" type="noConversion"/>
  </si>
  <si>
    <t>PDATA_LTE_ANT_STATUS</t>
    <phoneticPr fontId="11" type="noConversion"/>
  </si>
  <si>
    <t>ANT_ALTERNATE_CONFIGURE</t>
    <phoneticPr fontId="11" type="noConversion"/>
  </si>
  <si>
    <t>TAS</t>
    <phoneticPr fontId="11" type="noConversion"/>
  </si>
  <si>
    <t>By Rat TAS Feature Setting</t>
    <phoneticPr fontId="11" type="noConversion"/>
  </si>
  <si>
    <t>LTE_TAS_CAT_A_DATABASE</t>
    <phoneticPr fontId="11" type="noConversion"/>
  </si>
  <si>
    <t>LTE_TAS_CAT_B_DATABASE</t>
    <phoneticPr fontId="11" type="noConversion"/>
  </si>
  <si>
    <t>TAS_ALTERNATE_CONFIGURE</t>
    <phoneticPr fontId="11" type="noConversion"/>
  </si>
  <si>
    <t>Split Band setting</t>
    <phoneticPr fontId="11" type="noConversion"/>
  </si>
  <si>
    <t>HPUE</t>
    <phoneticPr fontId="11" type="noConversion"/>
  </si>
  <si>
    <t>LTE_HPUE_ENA</t>
    <phoneticPr fontId="11" type="noConversion"/>
  </si>
  <si>
    <t>Band HPUE setting</t>
    <phoneticPr fontId="11" type="noConversion"/>
  </si>
  <si>
    <t>ANT_FE_Data</t>
    <phoneticPr fontId="11" type="noConversion"/>
  </si>
  <si>
    <t>LTE_ANT_REORG_ENABLE</t>
    <phoneticPr fontId="11" type="noConversion"/>
  </si>
  <si>
    <t>LTE_ANT_CAT_A_DATABASE</t>
    <phoneticPr fontId="11" type="noConversion"/>
  </si>
  <si>
    <t>LTE_ANT_CAT_B_DATABASE</t>
    <phoneticPr fontId="11" type="noConversion"/>
  </si>
  <si>
    <t>ANT_Default</t>
    <phoneticPr fontId="11" type="noConversion"/>
  </si>
  <si>
    <t>LTE_ANT_ENABLE</t>
    <phoneticPr fontId="11" type="noConversion"/>
  </si>
  <si>
    <t>ANT_DAT</t>
    <phoneticPr fontId="11" type="noConversion"/>
  </si>
  <si>
    <t>LTE_DAT_ENABLE</t>
    <phoneticPr fontId="11" type="noConversion"/>
  </si>
  <si>
    <t>DAT_ALTERNATE_CONFIGURE</t>
    <phoneticPr fontId="11" type="noConversion"/>
  </si>
  <si>
    <t>Copy CFG setting</t>
    <phoneticPr fontId="11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</si>
  <si>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</si>
  <si>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</si>
  <si>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</si>
  <si>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</si>
  <si>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</si>
  <si>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</si>
  <si>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</si>
  <si>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</si>
  <si>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</si>
  <si>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</si>
  <si>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1" type="noConversion"/>
  </si>
  <si>
    <t>Don't Copy CFG setting</t>
    <phoneticPr fontId="11" type="noConversion"/>
  </si>
  <si>
    <t>Title</t>
    <phoneticPr fontId="11" type="noConversion"/>
  </si>
  <si>
    <t>(LTE_BAND)</t>
    <phoneticPr fontId="11" type="noConversion"/>
  </si>
  <si>
    <t>SingleBand Setting</t>
    <phoneticPr fontId="11" type="noConversion"/>
  </si>
  <si>
    <t>(LTE_BAND)</t>
    <phoneticPr fontId="11" type="noConversion"/>
  </si>
  <si>
    <t>PDATA_LTE_ANT_STATUS_3</t>
    <phoneticPr fontId="11" type="noConversion"/>
  </si>
  <si>
    <t>LTE_ANT_CAT_A_CONFIG_IDX0</t>
    <phoneticPr fontId="11" type="noConversion"/>
  </si>
  <si>
    <t>LTE_ANT_REORG_ENABLE(@ANT_FE_Data)</t>
    <phoneticPr fontId="11" type="noConversion"/>
  </si>
  <si>
    <t>Sring_data(Replace SetDefault to SetX)</t>
  </si>
  <si>
    <t>Print_data_in_file_down(Replace SetDefault to SetX)</t>
  </si>
  <si>
    <t>MISC</t>
    <phoneticPr fontId="12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</si>
  <si>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</si>
  <si>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</si>
  <si>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</si>
  <si>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</si>
  <si>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</si>
  <si>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</si>
  <si>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</si>
  <si>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</si>
  <si>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</si>
  <si>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</si>
  <si>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</si>
  <si>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</si>
  <si>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</si>
  <si>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</si>
  <si>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</si>
  <si>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</si>
  <si>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</si>
  <si>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</si>
  <si>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</si>
  <si>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</si>
  <si>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</si>
  <si>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</si>
  <si>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</si>
  <si>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</si>
  <si>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</si>
  <si>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</si>
  <si>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</si>
  <si>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</si>
  <si>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</si>
  <si>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dpd_apt_high_temperature_th</t>
  </si>
  <si>
    <t>dpd_apt_low_temperature_th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</si>
  <si>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</si>
  <si>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</si>
  <si>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</si>
  <si>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</si>
  <si>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</si>
  <si>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</si>
  <si>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</si>
  <si>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</si>
  <si>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</si>
  <si>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</si>
  <si>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</si>
  <si>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</si>
  <si>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</si>
  <si>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</si>
  <si>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</si>
  <si>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</si>
  <si>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</si>
  <si>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</si>
  <si>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</si>
  <si>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</si>
  <si>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</si>
  <si>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</si>
  <si>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</si>
  <si>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</si>
  <si>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</si>
  <si>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</si>
  <si>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</si>
  <si>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</si>
  <si>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</si>
  <si>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</si>
  <si>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</si>
  <si>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</si>
  <si>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</si>
  <si>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</si>
  <si>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</si>
  <si>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</si>
  <si>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</si>
  <si>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</si>
  <si>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</si>
  <si>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</si>
  <si>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</si>
  <si>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</si>
  <si>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</si>
  <si>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</si>
  <si>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</si>
  <si>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</si>
  <si>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</si>
  <si>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</si>
  <si>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</si>
  <si>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</si>
  <si>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</si>
  <si>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</si>
  <si>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</si>
  <si>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</si>
  <si>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</si>
  <si>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</si>
  <si>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</si>
  <si>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</si>
  <si>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</si>
  <si>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</si>
  <si>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</si>
  <si>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</si>
  <si>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</si>
  <si>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</si>
  <si>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LTE_Band14</t>
  </si>
  <si>
    <t>0x00000108</t>
  </si>
  <si>
    <t>LTE Parsing Tool Gen93_v0.7.1_180223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</si>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</sst>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/>
  </cellStyleXfs>
  <cellXfs count="423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9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8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9" fillId="2" borderId="5" xfId="0" applyFont="1" applyFill="1" applyBorder="1"/>
    <xf numFmtId="49" fontId="10" fillId="2" borderId="1" xfId="1" applyNumberFormat="1" applyFont="1" applyFill="1" applyBorder="1"/>
    <xf numFmtId="0" fontId="7" fillId="0" borderId="0" xfId="1"/>
    <xf numFmtId="0" fontId="10" fillId="0" borderId="0" xfId="1" applyFont="1"/>
    <xf numFmtId="49" fontId="15" fillId="5" borderId="0" xfId="0" applyNumberFormat="1" applyFont="1" applyFill="1"/>
    <xf numFmtId="49" fontId="10" fillId="2" borderId="1" xfId="1" applyNumberFormat="1" applyFont="1" applyFill="1" applyBorder="1" applyAlignment="1">
      <alignment horizontal="left" wrapText="1"/>
    </xf>
    <xf numFmtId="0" fontId="16" fillId="2" borderId="1" xfId="1" applyFont="1" applyFill="1" applyBorder="1"/>
    <xf numFmtId="0" fontId="16" fillId="3" borderId="1" xfId="1" applyFont="1" applyFill="1" applyBorder="1"/>
    <xf numFmtId="0" fontId="0" fillId="0" borderId="0" xfId="0" applyFill="1" applyBorder="1" applyProtection="1">
      <protection locked="0"/>
    </xf>
    <xf numFmtId="0" fontId="16" fillId="2" borderId="1" xfId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49" fontId="10" fillId="3" borderId="1" xfId="1" applyNumberFormat="1" applyFont="1" applyFill="1" applyBorder="1" applyAlignment="1">
      <alignment horizontal="center" wrapText="1"/>
    </xf>
    <xf numFmtId="0" fontId="7" fillId="0" borderId="0" xfId="1" applyProtection="1">
      <protection locked="0"/>
    </xf>
    <xf numFmtId="0" fontId="10" fillId="0" borderId="0" xfId="1" applyFont="1" applyProtection="1">
      <protection locked="0"/>
    </xf>
    <xf numFmtId="49" fontId="10" fillId="0" borderId="0" xfId="1" applyNumberFormat="1" applyFont="1" applyBorder="1" applyProtection="1">
      <protection locked="0"/>
    </xf>
    <xf numFmtId="49" fontId="13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0" fillId="0" borderId="0" xfId="1" applyNumberFormat="1" applyFont="1" applyFill="1" applyBorder="1" applyProtection="1">
      <protection locked="0"/>
    </xf>
    <xf numFmtId="0" fontId="10" fillId="0" borderId="0" xfId="1" applyFont="1" applyFill="1" applyProtection="1">
      <protection locked="0"/>
    </xf>
    <xf numFmtId="49" fontId="10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10" fillId="0" borderId="3" xfId="1" applyNumberFormat="1" applyFont="1" applyFill="1" applyBorder="1" applyProtection="1"/>
    <xf numFmtId="0" fontId="7" fillId="0" borderId="0" xfId="1" applyProtection="1"/>
    <xf numFmtId="49" fontId="10" fillId="2" borderId="1" xfId="1" applyNumberFormat="1" applyFont="1" applyFill="1" applyBorder="1" applyProtection="1"/>
    <xf numFmtId="49" fontId="10" fillId="0" borderId="0" xfId="1" applyNumberFormat="1" applyFont="1" applyFill="1" applyBorder="1" applyProtection="1"/>
    <xf numFmtId="49" fontId="10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6" fillId="2" borderId="1" xfId="1" applyFont="1" applyFill="1" applyBorder="1" applyAlignment="1">
      <alignment horizontal="center"/>
    </xf>
    <xf numFmtId="0" fontId="16" fillId="3" borderId="1" xfId="1" applyFont="1" applyFill="1" applyBorder="1" applyAlignment="1">
      <alignment horizontal="center"/>
    </xf>
    <xf numFmtId="49" fontId="10" fillId="0" borderId="6" xfId="1" applyNumberFormat="1" applyFont="1" applyFill="1" applyBorder="1" applyProtection="1"/>
    <xf numFmtId="49" fontId="10" fillId="0" borderId="12" xfId="1" applyNumberFormat="1" applyFont="1" applyFill="1" applyBorder="1" applyProtection="1">
      <protection locked="0"/>
    </xf>
    <xf numFmtId="49" fontId="10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3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9" fillId="2" borderId="1" xfId="0" applyFont="1" applyFill="1" applyBorder="1"/>
    <xf numFmtId="0" fontId="6" fillId="0" borderId="0" xfId="1" applyFont="1"/>
    <xf numFmtId="49" fontId="13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9" fillId="2" borderId="13" xfId="0" applyFont="1" applyFill="1" applyBorder="1"/>
    <xf numFmtId="0" fontId="0" fillId="4" borderId="0" xfId="0" applyFill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9" fillId="0" borderId="0" xfId="0" applyFont="1" applyFill="1" applyBorder="1"/>
    <xf numFmtId="49" fontId="10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9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5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6" fillId="3" borderId="1" xfId="1" applyFont="1" applyFill="1" applyBorder="1" applyProtection="1"/>
    <xf numFmtId="0" fontId="16" fillId="2" borderId="1" xfId="1" applyFont="1" applyFill="1" applyBorder="1" applyProtection="1"/>
    <xf numFmtId="49" fontId="10" fillId="2" borderId="1" xfId="1" applyNumberFormat="1" applyFont="1" applyFill="1" applyBorder="1" applyAlignment="1" applyProtection="1">
      <alignment horizontal="left" wrapText="1"/>
    </xf>
    <xf numFmtId="0" fontId="4" fillId="2" borderId="1" xfId="1" applyFont="1" applyFill="1" applyBorder="1" applyProtection="1"/>
    <xf numFmtId="0" fontId="5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9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9" fillId="2" borderId="5" xfId="0" applyFont="1" applyFill="1" applyBorder="1" applyAlignment="1">
      <alignment horizontal="left"/>
    </xf>
    <xf numFmtId="49" fontId="9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9" fillId="3" borderId="3" xfId="0" applyNumberFormat="1" applyFont="1" applyFill="1" applyBorder="1"/>
    <xf numFmtId="0" fontId="9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0" fillId="0" borderId="0" xfId="1" applyFont="1" applyFill="1"/>
    <xf numFmtId="49" fontId="10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3" fillId="0" borderId="0" xfId="1" applyFont="1" applyProtection="1">
      <protection locked="0"/>
    </xf>
    <xf numFmtId="0" fontId="2" fillId="0" borderId="0" xfId="1" applyFont="1" applyProtection="1">
      <protection locked="0"/>
    </xf>
    <xf numFmtId="0" fontId="10" fillId="0" borderId="0" xfId="0" applyFont="1"/>
    <xf numFmtId="49" fontId="10" fillId="0" borderId="0" xfId="0" applyNumberFormat="1" applyFont="1" applyProtection="1"/>
    <xf numFmtId="49" fontId="10" fillId="0" borderId="0" xfId="0" applyNumberFormat="1" applyFont="1" applyAlignment="1" applyProtection="1">
      <alignment horizontal="left"/>
    </xf>
    <xf numFmtId="0" fontId="19" fillId="0" borderId="0" xfId="0" applyFont="1"/>
    <xf numFmtId="0" fontId="20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wrapText="1"/>
    </xf>
    <xf numFmtId="0" fontId="10" fillId="0" borderId="0" xfId="0" applyFont="1" applyAlignment="1" applyProtection="1">
      <alignment horizontal="left"/>
    </xf>
    <xf numFmtId="0" fontId="9" fillId="2" borderId="2" xfId="0" applyFont="1" applyFill="1" applyBorder="1" applyProtection="1"/>
    <xf numFmtId="0" fontId="21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/>
    <xf numFmtId="0" fontId="23" fillId="0" borderId="1" xfId="0" applyFont="1" applyBorder="1"/>
    <xf numFmtId="0" fontId="23" fillId="0" borderId="1" xfId="0" applyFont="1" applyBorder="1" applyAlignment="1">
      <alignment horizontal="left"/>
    </xf>
    <xf numFmtId="0" fontId="23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3" fillId="0" borderId="1" xfId="0" applyFont="1" applyBorder="1" applyAlignment="1">
      <alignment horizontal="left" vertical="center"/>
    </xf>
    <xf numFmtId="0" fontId="10" fillId="0" borderId="0" xfId="1" applyFont="1" applyBorder="1"/>
    <xf numFmtId="0" fontId="7" fillId="0" borderId="0" xfId="1" applyBorder="1" applyProtection="1"/>
    <xf numFmtId="0" fontId="7" fillId="0" borderId="0" xfId="1" applyBorder="1" applyProtection="1">
      <protection locked="0"/>
    </xf>
    <xf numFmtId="0" fontId="7" fillId="0" borderId="0" xfId="1" applyBorder="1"/>
    <xf numFmtId="0" fontId="10" fillId="0" borderId="0" xfId="1" applyFont="1" applyBorder="1" applyProtection="1">
      <protection locked="0"/>
    </xf>
    <xf numFmtId="0" fontId="3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3" fillId="8" borderId="2" xfId="0" applyFont="1" applyFill="1" applyBorder="1" applyProtection="1"/>
    <xf numFmtId="0" fontId="23" fillId="0" borderId="0" xfId="0" applyFont="1" applyFill="1" applyBorder="1" applyProtection="1"/>
    <xf numFmtId="0" fontId="23" fillId="8" borderId="5" xfId="0" applyFont="1" applyFill="1" applyBorder="1" applyProtection="1"/>
    <xf numFmtId="0" fontId="23" fillId="8" borderId="5" xfId="0" applyFont="1" applyFill="1" applyBorder="1" applyAlignment="1" applyProtection="1">
      <alignment wrapText="1"/>
    </xf>
    <xf numFmtId="0" fontId="23" fillId="0" borderId="17" xfId="0" applyFont="1" applyFill="1" applyBorder="1" applyAlignment="1" applyProtection="1">
      <alignment horizontal="center"/>
      <protection locked="0"/>
    </xf>
    <xf numFmtId="0" fontId="23" fillId="0" borderId="15" xfId="0" applyFont="1" applyFill="1" applyBorder="1" applyAlignment="1" applyProtection="1">
      <alignment horizontal="right"/>
      <protection locked="0"/>
    </xf>
    <xf numFmtId="0" fontId="23" fillId="0" borderId="19" xfId="0" applyFont="1" applyFill="1" applyBorder="1" applyAlignment="1" applyProtection="1">
      <alignment horizontal="right"/>
    </xf>
    <xf numFmtId="0" fontId="23" fillId="0" borderId="14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0" fontId="23" fillId="0" borderId="20" xfId="0" applyFont="1" applyFill="1" applyBorder="1" applyAlignment="1" applyProtection="1">
      <alignment horizontal="right"/>
    </xf>
    <xf numFmtId="0" fontId="23" fillId="0" borderId="21" xfId="0" applyFont="1" applyFill="1" applyBorder="1" applyAlignment="1" applyProtection="1">
      <alignment horizontal="center"/>
      <protection locked="0"/>
    </xf>
    <xf numFmtId="0" fontId="23" fillId="0" borderId="16" xfId="0" applyFont="1" applyFill="1" applyBorder="1" applyAlignment="1" applyProtection="1">
      <alignment horizontal="right"/>
      <protection locked="0"/>
    </xf>
    <xf numFmtId="0" fontId="23" fillId="0" borderId="22" xfId="0" applyFont="1" applyFill="1" applyBorder="1" applyAlignment="1" applyProtection="1">
      <alignment horizontal="right"/>
    </xf>
    <xf numFmtId="0" fontId="23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6" fillId="2" borderId="1" xfId="1" applyFont="1" applyFill="1" applyBorder="1" applyAlignment="1" applyProtection="1">
      <alignment horizontal="center"/>
    </xf>
    <xf numFmtId="0" fontId="16" fillId="2" borderId="1" xfId="1" applyFont="1" applyFill="1" applyBorder="1" applyAlignment="1">
      <alignment horizontal="center"/>
    </xf>
    <xf numFmtId="0" fontId="16" fillId="2" borderId="6" xfId="1" applyFont="1" applyFill="1" applyBorder="1" applyAlignment="1">
      <alignment horizontal="center"/>
    </xf>
    <xf numFmtId="0" fontId="16" fillId="2" borderId="7" xfId="1" applyFont="1" applyFill="1" applyBorder="1" applyAlignment="1">
      <alignment horizontal="center"/>
    </xf>
    <xf numFmtId="0" fontId="16" fillId="2" borderId="8" xfId="1" applyFont="1" applyFill="1" applyBorder="1" applyAlignment="1">
      <alignment horizontal="center"/>
    </xf>
    <xf numFmtId="0" fontId="16" fillId="2" borderId="6" xfId="1" applyFont="1" applyFill="1" applyBorder="1" applyAlignment="1" applyProtection="1">
      <alignment horizontal="center"/>
    </xf>
    <xf numFmtId="0" fontId="16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6" fillId="2" borderId="9" xfId="1" applyFont="1" applyFill="1" applyBorder="1" applyAlignment="1" applyProtection="1">
      <alignment horizontal="center"/>
    </xf>
    <xf numFmtId="0" fontId="16" fillId="2" borderId="10" xfId="1" applyFont="1" applyFill="1" applyBorder="1" applyAlignment="1" applyProtection="1">
      <alignment horizontal="center"/>
    </xf>
    <xf numFmtId="0" fontId="16" fillId="2" borderId="9" xfId="1" applyFont="1" applyFill="1" applyBorder="1" applyAlignment="1">
      <alignment horizontal="center"/>
    </xf>
    <xf numFmtId="0" fontId="23" fillId="0" borderId="11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164" fontId="23" fillId="0" borderId="11" xfId="0" applyNumberFormat="1" applyFont="1" applyBorder="1" applyAlignment="1">
      <alignment horizontal="left" vertical="center"/>
    </xf>
    <xf numFmtId="164" fontId="23" fillId="0" borderId="18" xfId="0" applyNumberFormat="1" applyFont="1" applyBorder="1" applyAlignment="1">
      <alignment horizontal="left" vertical="center"/>
    </xf>
    <xf numFmtId="164" fontId="23" fillId="0" borderId="3" xfId="0" applyNumberFormat="1" applyFont="1" applyBorder="1" applyAlignment="1">
      <alignment horizontal="left" vertical="center"/>
    </xf>
    <xf numFmtId="0" fontId="23" fillId="0" borderId="11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4" fontId="23" fillId="0" borderId="11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B6" sqref="B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834</v>
      </c>
    </row>
    <row r="4" spans="1:16" ht="15.75" thickBot="1"/>
    <row r="5" spans="1:16" ht="15.75" thickBot="1">
      <c r="A5" s="15" t="s">
        <v>81</v>
      </c>
    </row>
    <row r="6" spans="1:16">
      <c r="A6" s="200" t="s">
        <v>140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852</v>
      </c>
      <c r="I9" s="2" t="s">
        <v>853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831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854</v>
      </c>
      <c r="I10" s="208" t="s">
        <v>854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62" t="s">
        <v>214</v>
      </c>
    </row>
    <row r="11" spans="1:16">
      <c r="A11" s="10" t="s">
        <v>54</v>
      </c>
      <c r="B11" s="201" t="s">
        <v>82</v>
      </c>
      <c r="C11" s="202" t="s">
        <v>831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854</v>
      </c>
      <c r="I11" s="208" t="s">
        <v>854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62" t="s">
        <v>106</v>
      </c>
    </row>
    <row r="12" spans="1:16">
      <c r="A12" s="10" t="s">
        <v>55</v>
      </c>
      <c r="B12" s="201" t="s">
        <v>83</v>
      </c>
      <c r="C12" s="202" t="s">
        <v>831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854</v>
      </c>
      <c r="I12" s="208" t="s">
        <v>854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62" t="s">
        <v>107</v>
      </c>
    </row>
    <row r="13" spans="1:16">
      <c r="A13" s="10" t="s">
        <v>56</v>
      </c>
      <c r="B13" s="201" t="s">
        <v>84</v>
      </c>
      <c r="C13" s="202" t="s">
        <v>831</v>
      </c>
      <c r="D13" s="203" t="s">
        <v>132</v>
      </c>
      <c r="E13" s="204" t="s">
        <v>136</v>
      </c>
      <c r="F13" s="205" t="s">
        <v>11</v>
      </c>
      <c r="G13" s="206" t="s">
        <v>11</v>
      </c>
      <c r="H13" s="207" t="s">
        <v>854</v>
      </c>
      <c r="I13" s="208" t="s">
        <v>854</v>
      </c>
      <c r="J13" s="209" t="s">
        <v>13</v>
      </c>
      <c r="K13" s="210" t="s">
        <v>265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62" t="s">
        <v>108</v>
      </c>
    </row>
    <row r="14" spans="1:16">
      <c r="A14" s="10" t="s">
        <v>57</v>
      </c>
      <c r="B14" s="201" t="s">
        <v>85</v>
      </c>
      <c r="C14" s="202" t="s">
        <v>831</v>
      </c>
      <c r="D14" s="203" t="s">
        <v>133</v>
      </c>
      <c r="E14" s="204" t="s">
        <v>105</v>
      </c>
      <c r="F14" s="205" t="s">
        <v>11</v>
      </c>
      <c r="G14" s="206" t="s">
        <v>11</v>
      </c>
      <c r="H14" s="207" t="s">
        <v>854</v>
      </c>
      <c r="I14" s="208" t="s">
        <v>854</v>
      </c>
      <c r="J14" s="209" t="s">
        <v>13</v>
      </c>
      <c r="K14" s="210" t="s">
        <v>264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62" t="s">
        <v>109</v>
      </c>
    </row>
    <row r="15" spans="1:16">
      <c r="A15" s="10" t="s">
        <v>58</v>
      </c>
      <c r="B15" s="201" t="s">
        <v>87</v>
      </c>
      <c r="C15" s="202" t="s">
        <v>831</v>
      </c>
      <c r="D15" s="203" t="s">
        <v>133</v>
      </c>
      <c r="E15" s="204" t="s">
        <v>105</v>
      </c>
      <c r="F15" s="205" t="s">
        <v>1517</v>
      </c>
      <c r="G15" s="206" t="s">
        <v>1517</v>
      </c>
      <c r="H15" s="207" t="s">
        <v>854</v>
      </c>
      <c r="I15" s="208" t="s">
        <v>854</v>
      </c>
      <c r="J15" s="209" t="s">
        <v>13</v>
      </c>
      <c r="K15" s="210" t="s">
        <v>264</v>
      </c>
      <c r="L15" s="211" t="s">
        <v>1519</v>
      </c>
      <c r="M15" s="212" t="s">
        <v>1519</v>
      </c>
      <c r="N15" s="213" t="s">
        <v>14</v>
      </c>
      <c r="O15" s="214" t="s">
        <v>14</v>
      </c>
      <c r="P15" s="262" t="s">
        <v>110</v>
      </c>
    </row>
    <row r="16" spans="1:16">
      <c r="A16" s="10" t="s">
        <v>59</v>
      </c>
      <c r="B16" s="201" t="s">
        <v>88</v>
      </c>
      <c r="C16" s="202" t="s">
        <v>831</v>
      </c>
      <c r="D16" s="203" t="s">
        <v>27</v>
      </c>
      <c r="E16" s="204" t="s">
        <v>104</v>
      </c>
      <c r="F16" s="205" t="s">
        <v>11</v>
      </c>
      <c r="G16" s="206" t="s">
        <v>11</v>
      </c>
      <c r="H16" s="207" t="s">
        <v>854</v>
      </c>
      <c r="I16" s="208" t="s">
        <v>854</v>
      </c>
      <c r="J16" s="209" t="s">
        <v>13</v>
      </c>
      <c r="K16" s="210" t="s">
        <v>264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62" t="s">
        <v>111</v>
      </c>
    </row>
    <row r="17" spans="1:16">
      <c r="A17" s="10" t="s">
        <v>60</v>
      </c>
      <c r="B17" s="201" t="s">
        <v>276</v>
      </c>
      <c r="C17" s="202" t="s">
        <v>831</v>
      </c>
      <c r="D17" s="203" t="s">
        <v>49</v>
      </c>
      <c r="E17" s="204" t="s">
        <v>28</v>
      </c>
      <c r="F17" s="205" t="s">
        <v>11</v>
      </c>
      <c r="G17" s="206" t="s">
        <v>11</v>
      </c>
      <c r="H17" s="207" t="s">
        <v>854</v>
      </c>
      <c r="I17" s="208" t="s">
        <v>854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62" t="s">
        <v>112</v>
      </c>
    </row>
    <row r="18" spans="1:16">
      <c r="A18" s="10" t="s">
        <v>61</v>
      </c>
      <c r="B18" s="201" t="s">
        <v>1521</v>
      </c>
      <c r="C18" s="202" t="s">
        <v>831</v>
      </c>
      <c r="D18" s="203" t="s">
        <v>49</v>
      </c>
      <c r="E18" s="204" t="s">
        <v>28</v>
      </c>
      <c r="F18" s="205" t="s">
        <v>1518</v>
      </c>
      <c r="G18" s="206" t="s">
        <v>1518</v>
      </c>
      <c r="H18" s="207" t="s">
        <v>854</v>
      </c>
      <c r="I18" s="208" t="s">
        <v>854</v>
      </c>
      <c r="J18" s="209" t="s">
        <v>13</v>
      </c>
      <c r="K18" s="210" t="s">
        <v>264</v>
      </c>
      <c r="L18" s="211" t="s">
        <v>1520</v>
      </c>
      <c r="M18" s="212" t="s">
        <v>1520</v>
      </c>
      <c r="N18" s="213" t="s">
        <v>14</v>
      </c>
      <c r="O18" s="214" t="s">
        <v>14</v>
      </c>
      <c r="P18" s="262" t="s">
        <v>113</v>
      </c>
    </row>
    <row r="19" spans="1:16">
      <c r="A19" s="10" t="s">
        <v>62</v>
      </c>
      <c r="B19" s="201" t="s">
        <v>89</v>
      </c>
      <c r="C19" s="202" t="s">
        <v>831</v>
      </c>
      <c r="D19" s="203" t="s">
        <v>27</v>
      </c>
      <c r="E19" s="204" t="s">
        <v>104</v>
      </c>
      <c r="F19" s="205" t="s">
        <v>11</v>
      </c>
      <c r="G19" s="206" t="s">
        <v>11</v>
      </c>
      <c r="H19" s="207" t="s">
        <v>854</v>
      </c>
      <c r="I19" s="208" t="s">
        <v>854</v>
      </c>
      <c r="J19" s="209" t="s">
        <v>13</v>
      </c>
      <c r="K19" s="210" t="s">
        <v>264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62" t="s">
        <v>114</v>
      </c>
    </row>
    <row r="20" spans="1:16">
      <c r="A20" s="10" t="s">
        <v>63</v>
      </c>
      <c r="B20" s="201" t="s">
        <v>274</v>
      </c>
      <c r="C20" s="202" t="s">
        <v>831</v>
      </c>
      <c r="D20" s="203" t="s">
        <v>101</v>
      </c>
      <c r="E20" s="204" t="s">
        <v>103</v>
      </c>
      <c r="F20" s="205" t="s">
        <v>11</v>
      </c>
      <c r="G20" s="206" t="s">
        <v>11</v>
      </c>
      <c r="H20" s="207" t="s">
        <v>854</v>
      </c>
      <c r="I20" s="208" t="s">
        <v>854</v>
      </c>
      <c r="J20" s="209" t="s">
        <v>13</v>
      </c>
      <c r="K20" s="210" t="s">
        <v>265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62" t="s">
        <v>115</v>
      </c>
    </row>
    <row r="21" spans="1:16">
      <c r="A21" s="10" t="s">
        <v>64</v>
      </c>
      <c r="B21" s="201" t="s">
        <v>91</v>
      </c>
      <c r="C21" s="202" t="s">
        <v>831</v>
      </c>
      <c r="D21" s="203" t="s">
        <v>133</v>
      </c>
      <c r="E21" s="204" t="s">
        <v>105</v>
      </c>
      <c r="F21" s="205" t="s">
        <v>11</v>
      </c>
      <c r="G21" s="206" t="s">
        <v>11</v>
      </c>
      <c r="H21" s="207" t="s">
        <v>854</v>
      </c>
      <c r="I21" s="208" t="s">
        <v>854</v>
      </c>
      <c r="J21" s="209" t="s">
        <v>13</v>
      </c>
      <c r="K21" s="210" t="s">
        <v>264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62" t="s">
        <v>116</v>
      </c>
    </row>
    <row r="22" spans="1:16">
      <c r="A22" s="10" t="s">
        <v>65</v>
      </c>
      <c r="B22" s="201" t="s">
        <v>278</v>
      </c>
      <c r="C22" s="202" t="s">
        <v>831</v>
      </c>
      <c r="D22" s="203" t="s">
        <v>98</v>
      </c>
      <c r="E22" s="204" t="s">
        <v>134</v>
      </c>
      <c r="F22" s="205" t="s">
        <v>11</v>
      </c>
      <c r="G22" s="206" t="s">
        <v>11</v>
      </c>
      <c r="H22" s="207" t="s">
        <v>854</v>
      </c>
      <c r="I22" s="208" t="s">
        <v>854</v>
      </c>
      <c r="J22" s="209" t="s">
        <v>13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62" t="s">
        <v>117</v>
      </c>
    </row>
    <row r="23" spans="1:16">
      <c r="A23" s="10" t="s">
        <v>66</v>
      </c>
      <c r="B23" s="201" t="s">
        <v>42</v>
      </c>
      <c r="C23" s="202" t="s">
        <v>831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854</v>
      </c>
      <c r="I23" s="208" t="s">
        <v>854</v>
      </c>
      <c r="J23" s="209" t="s">
        <v>13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62" t="s">
        <v>118</v>
      </c>
    </row>
    <row r="24" spans="1:16">
      <c r="A24" s="10" t="s">
        <v>67</v>
      </c>
      <c r="B24" s="201" t="s">
        <v>23</v>
      </c>
      <c r="C24" s="202" t="s">
        <v>831</v>
      </c>
      <c r="D24" s="203" t="s">
        <v>100</v>
      </c>
      <c r="E24" s="204" t="s">
        <v>135</v>
      </c>
      <c r="F24" s="205" t="s">
        <v>11</v>
      </c>
      <c r="G24" s="206" t="s">
        <v>11</v>
      </c>
      <c r="H24" s="207" t="s">
        <v>854</v>
      </c>
      <c r="I24" s="208" t="s">
        <v>854</v>
      </c>
      <c r="J24" s="209" t="s">
        <v>13</v>
      </c>
      <c r="K24" s="210" t="s">
        <v>267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62" t="s">
        <v>119</v>
      </c>
    </row>
    <row r="25" spans="1:16">
      <c r="A25" s="10" t="s">
        <v>68</v>
      </c>
      <c r="B25" s="201" t="s">
        <v>96</v>
      </c>
      <c r="C25" s="202" t="s">
        <v>831</v>
      </c>
      <c r="D25" s="203" t="s">
        <v>100</v>
      </c>
      <c r="E25" s="204" t="s">
        <v>102</v>
      </c>
      <c r="F25" s="205" t="s">
        <v>11</v>
      </c>
      <c r="G25" s="206" t="s">
        <v>11</v>
      </c>
      <c r="H25" s="207" t="s">
        <v>854</v>
      </c>
      <c r="I25" s="208" t="s">
        <v>854</v>
      </c>
      <c r="J25" s="209" t="s">
        <v>13</v>
      </c>
      <c r="K25" s="210" t="s">
        <v>267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62" t="s">
        <v>120</v>
      </c>
    </row>
    <row r="26" spans="1:16">
      <c r="A26" s="10" t="s">
        <v>69</v>
      </c>
      <c r="B26" s="201" t="s">
        <v>275</v>
      </c>
      <c r="C26" s="202" t="s">
        <v>831</v>
      </c>
      <c r="D26" s="203" t="s">
        <v>132</v>
      </c>
      <c r="E26" s="204" t="s">
        <v>136</v>
      </c>
      <c r="F26" s="205" t="s">
        <v>11</v>
      </c>
      <c r="G26" s="206" t="s">
        <v>11</v>
      </c>
      <c r="H26" s="207" t="s">
        <v>854</v>
      </c>
      <c r="I26" s="208" t="s">
        <v>854</v>
      </c>
      <c r="J26" s="209" t="s">
        <v>13</v>
      </c>
      <c r="K26" s="210" t="s">
        <v>265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62" t="s">
        <v>121</v>
      </c>
    </row>
    <row r="27" spans="1:16">
      <c r="A27" s="10" t="s">
        <v>70</v>
      </c>
      <c r="B27" s="201" t="s">
        <v>850</v>
      </c>
      <c r="C27" s="202" t="s">
        <v>831</v>
      </c>
      <c r="D27" s="203" t="s">
        <v>99</v>
      </c>
      <c r="E27" s="204" t="s">
        <v>50</v>
      </c>
      <c r="F27" s="205" t="s">
        <v>1522</v>
      </c>
      <c r="G27" s="206" t="s">
        <v>1522</v>
      </c>
      <c r="H27" s="207" t="s">
        <v>854</v>
      </c>
      <c r="I27" s="208" t="s">
        <v>854</v>
      </c>
      <c r="J27" s="209" t="s">
        <v>13</v>
      </c>
      <c r="K27" s="210" t="s">
        <v>264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62" t="s">
        <v>122</v>
      </c>
    </row>
    <row r="28" spans="1:16">
      <c r="A28" s="10" t="s">
        <v>71</v>
      </c>
      <c r="B28" s="201" t="s">
        <v>15</v>
      </c>
      <c r="C28" s="202" t="s">
        <v>832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854</v>
      </c>
      <c r="I28" s="208" t="s">
        <v>854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62" t="s">
        <v>123</v>
      </c>
    </row>
    <row r="29" spans="1:16">
      <c r="A29" s="10" t="s">
        <v>72</v>
      </c>
      <c r="B29" s="201" t="s">
        <v>15</v>
      </c>
      <c r="C29" s="202" t="s">
        <v>832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854</v>
      </c>
      <c r="I29" s="208" t="s">
        <v>854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62" t="s">
        <v>124</v>
      </c>
    </row>
    <row r="30" spans="1:16">
      <c r="A30" s="10" t="s">
        <v>73</v>
      </c>
      <c r="B30" s="201" t="s">
        <v>15</v>
      </c>
      <c r="C30" s="202" t="s">
        <v>832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854</v>
      </c>
      <c r="I30" s="208" t="s">
        <v>854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62" t="s">
        <v>125</v>
      </c>
    </row>
    <row r="31" spans="1:16">
      <c r="A31" s="10" t="s">
        <v>74</v>
      </c>
      <c r="B31" s="201" t="s">
        <v>15</v>
      </c>
      <c r="C31" s="202" t="s">
        <v>832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62" t="s">
        <v>126</v>
      </c>
    </row>
    <row r="32" spans="1:16">
      <c r="A32" s="10" t="s">
        <v>75</v>
      </c>
      <c r="B32" s="201" t="s">
        <v>15</v>
      </c>
      <c r="C32" s="202" t="s">
        <v>832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62" t="s">
        <v>127</v>
      </c>
    </row>
    <row r="33" spans="1:16">
      <c r="A33" s="10" t="s">
        <v>76</v>
      </c>
      <c r="B33" s="201" t="s">
        <v>15</v>
      </c>
      <c r="C33" s="202" t="s">
        <v>832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62" t="s">
        <v>128</v>
      </c>
    </row>
    <row r="34" spans="1:16">
      <c r="A34" s="10" t="s">
        <v>77</v>
      </c>
      <c r="B34" s="201" t="s">
        <v>15</v>
      </c>
      <c r="C34" s="202" t="s">
        <v>832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62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870</v>
      </c>
      <c r="G37" s="2" t="s">
        <v>852</v>
      </c>
      <c r="H37" s="2" t="s">
        <v>853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5" t="s">
        <v>15</v>
      </c>
      <c r="C38" s="216" t="s">
        <v>16</v>
      </c>
      <c r="D38" s="217" t="s">
        <v>29</v>
      </c>
      <c r="E38" s="218" t="s">
        <v>11</v>
      </c>
      <c r="F38" s="219" t="s">
        <v>11</v>
      </c>
      <c r="G38" s="220" t="s">
        <v>854</v>
      </c>
      <c r="H38" s="221" t="s">
        <v>854</v>
      </c>
      <c r="I38" s="20"/>
      <c r="J38" s="20"/>
      <c r="K38" s="20"/>
      <c r="L38" s="20"/>
      <c r="M38" s="20"/>
      <c r="N38" s="20"/>
      <c r="O38" s="20"/>
      <c r="P38" s="19" t="s">
        <v>974</v>
      </c>
    </row>
    <row r="39" spans="1:16">
      <c r="A39" s="98" t="s">
        <v>196</v>
      </c>
      <c r="B39" s="215" t="s">
        <v>15</v>
      </c>
      <c r="C39" s="216" t="s">
        <v>16</v>
      </c>
      <c r="D39" s="217" t="s">
        <v>29</v>
      </c>
      <c r="E39" s="218" t="s">
        <v>11</v>
      </c>
      <c r="F39" s="219" t="s">
        <v>11</v>
      </c>
      <c r="G39" s="220" t="s">
        <v>854</v>
      </c>
      <c r="H39" s="221" t="s">
        <v>854</v>
      </c>
      <c r="I39" s="20"/>
      <c r="J39" s="20"/>
      <c r="K39" s="20"/>
      <c r="L39" s="20"/>
      <c r="M39" s="20"/>
      <c r="N39" s="20"/>
      <c r="O39" s="20"/>
      <c r="P39" s="262" t="s">
        <v>974</v>
      </c>
    </row>
    <row r="40" spans="1:16">
      <c r="A40" s="98" t="s">
        <v>197</v>
      </c>
      <c r="B40" s="215" t="s">
        <v>15</v>
      </c>
      <c r="C40" s="216" t="s">
        <v>16</v>
      </c>
      <c r="D40" s="217" t="s">
        <v>29</v>
      </c>
      <c r="E40" s="218" t="s">
        <v>11</v>
      </c>
      <c r="F40" s="219" t="s">
        <v>11</v>
      </c>
      <c r="G40" s="220" t="s">
        <v>854</v>
      </c>
      <c r="H40" s="221" t="s">
        <v>854</v>
      </c>
      <c r="I40" s="16"/>
      <c r="J40" s="16"/>
      <c r="K40" s="16"/>
      <c r="L40" s="16"/>
      <c r="M40" s="16"/>
      <c r="N40" s="16"/>
      <c r="O40" s="16"/>
      <c r="P40" s="262" t="s">
        <v>974</v>
      </c>
    </row>
    <row r="41" spans="1:16">
      <c r="A41" s="97" t="s">
        <v>251</v>
      </c>
      <c r="B41" s="215" t="s">
        <v>15</v>
      </c>
      <c r="C41" s="216" t="s">
        <v>16</v>
      </c>
      <c r="D41" s="217" t="s">
        <v>29</v>
      </c>
      <c r="E41" s="218" t="s">
        <v>11</v>
      </c>
      <c r="F41" s="219" t="s">
        <v>11</v>
      </c>
      <c r="G41" s="220" t="s">
        <v>854</v>
      </c>
      <c r="H41" s="221" t="s">
        <v>854</v>
      </c>
      <c r="I41" s="20"/>
      <c r="J41" s="20"/>
      <c r="K41" s="20"/>
      <c r="L41" s="20"/>
      <c r="M41" s="20"/>
      <c r="N41" s="20"/>
      <c r="O41" s="20"/>
      <c r="P41" s="19" t="s">
        <v>974</v>
      </c>
    </row>
    <row r="42" spans="1:16">
      <c r="A42" s="98" t="s">
        <v>252</v>
      </c>
      <c r="B42" s="215" t="s">
        <v>15</v>
      </c>
      <c r="C42" s="216" t="s">
        <v>16</v>
      </c>
      <c r="D42" s="217" t="s">
        <v>29</v>
      </c>
      <c r="E42" s="218" t="s">
        <v>11</v>
      </c>
      <c r="F42" s="219" t="s">
        <v>11</v>
      </c>
      <c r="G42" s="220" t="s">
        <v>854</v>
      </c>
      <c r="H42" s="221" t="s">
        <v>854</v>
      </c>
      <c r="I42" s="20"/>
      <c r="J42" s="20"/>
      <c r="K42" s="20"/>
      <c r="L42" s="20"/>
      <c r="M42" s="20"/>
      <c r="N42" s="20"/>
      <c r="O42" s="20"/>
      <c r="P42" s="262" t="s">
        <v>974</v>
      </c>
    </row>
    <row r="43" spans="1:16">
      <c r="A43" s="98" t="s">
        <v>253</v>
      </c>
      <c r="B43" s="215" t="s">
        <v>15</v>
      </c>
      <c r="C43" s="216" t="s">
        <v>16</v>
      </c>
      <c r="D43" s="217" t="s">
        <v>29</v>
      </c>
      <c r="E43" s="218" t="s">
        <v>11</v>
      </c>
      <c r="F43" s="219" t="s">
        <v>11</v>
      </c>
      <c r="G43" s="220" t="s">
        <v>854</v>
      </c>
      <c r="H43" s="221" t="s">
        <v>854</v>
      </c>
      <c r="I43" s="16"/>
      <c r="J43" s="16"/>
      <c r="K43" s="16"/>
      <c r="L43" s="16"/>
      <c r="M43" s="16"/>
      <c r="N43" s="16"/>
      <c r="O43" s="16"/>
      <c r="P43" s="262" t="s">
        <v>974</v>
      </c>
    </row>
    <row r="44" spans="1:16" ht="15.75">
      <c r="A44" s="98" t="s">
        <v>221</v>
      </c>
      <c r="B44" s="215" t="s">
        <v>15</v>
      </c>
      <c r="C44" s="216"/>
      <c r="D44" s="217"/>
      <c r="E44" s="218"/>
      <c r="F44" s="219"/>
      <c r="G44" s="220"/>
      <c r="H44" s="221"/>
      <c r="I44" s="16"/>
      <c r="J44" s="16"/>
      <c r="K44" s="16"/>
      <c r="L44" s="16"/>
      <c r="M44" s="16"/>
      <c r="N44" s="16"/>
      <c r="O44" s="16"/>
      <c r="P44" s="262" t="s">
        <v>974</v>
      </c>
    </row>
    <row r="45" spans="1:16" ht="15.75">
      <c r="A45" s="98" t="s">
        <v>222</v>
      </c>
      <c r="B45" s="215" t="s">
        <v>15</v>
      </c>
      <c r="C45" s="216"/>
      <c r="D45" s="217"/>
      <c r="E45" s="218"/>
      <c r="F45" s="219"/>
      <c r="G45" s="220"/>
      <c r="H45" s="221"/>
      <c r="I45" s="16"/>
      <c r="J45" s="16"/>
      <c r="K45" s="16"/>
      <c r="L45" s="16"/>
      <c r="M45" s="16"/>
      <c r="N45" s="16"/>
      <c r="O45" s="16"/>
      <c r="P45" s="262" t="s">
        <v>974</v>
      </c>
    </row>
    <row r="46" spans="1:16" ht="15.75">
      <c r="A46" s="98" t="s">
        <v>223</v>
      </c>
      <c r="B46" s="215" t="s">
        <v>15</v>
      </c>
      <c r="C46" s="216"/>
      <c r="D46" s="217"/>
      <c r="E46" s="218"/>
      <c r="F46" s="219"/>
      <c r="G46" s="220"/>
      <c r="H46" s="221"/>
      <c r="I46" s="16"/>
      <c r="J46" s="16"/>
      <c r="K46" s="16"/>
      <c r="L46" s="16"/>
      <c r="M46" s="16"/>
      <c r="N46" s="16"/>
      <c r="O46" s="16"/>
      <c r="P46" s="262" t="s">
        <v>974</v>
      </c>
    </row>
    <row r="47" spans="1:16" ht="15.75">
      <c r="A47" s="98" t="s">
        <v>224</v>
      </c>
      <c r="B47" s="215" t="s">
        <v>15</v>
      </c>
      <c r="C47" s="216"/>
      <c r="D47" s="217"/>
      <c r="E47" s="218"/>
      <c r="F47" s="219"/>
      <c r="G47" s="220"/>
      <c r="H47" s="221"/>
      <c r="I47" s="16"/>
      <c r="J47" s="16"/>
      <c r="K47" s="16"/>
      <c r="L47" s="16"/>
      <c r="M47" s="16"/>
      <c r="N47" s="16"/>
      <c r="O47" s="16"/>
      <c r="P47" s="262" t="s">
        <v>974</v>
      </c>
    </row>
    <row r="48" spans="1:16" ht="15.75">
      <c r="A48" s="98" t="s">
        <v>225</v>
      </c>
      <c r="B48" s="215" t="s">
        <v>15</v>
      </c>
      <c r="C48" s="216"/>
      <c r="D48" s="217"/>
      <c r="E48" s="218"/>
      <c r="F48" s="219"/>
      <c r="G48" s="220"/>
      <c r="H48" s="221"/>
      <c r="I48" s="16"/>
      <c r="J48" s="16"/>
      <c r="K48" s="16"/>
      <c r="L48" s="16"/>
      <c r="M48" s="16"/>
      <c r="N48" s="16"/>
      <c r="O48" s="16"/>
      <c r="P48" s="262" t="s">
        <v>974</v>
      </c>
    </row>
    <row r="49" spans="1:16" ht="15.75">
      <c r="A49" s="98" t="s">
        <v>226</v>
      </c>
      <c r="B49" s="215" t="s">
        <v>15</v>
      </c>
      <c r="C49" s="216"/>
      <c r="D49" s="217"/>
      <c r="E49" s="218"/>
      <c r="F49" s="219"/>
      <c r="G49" s="220"/>
      <c r="H49" s="221"/>
      <c r="I49" s="16"/>
      <c r="J49" s="16"/>
      <c r="K49" s="16"/>
      <c r="L49" s="16"/>
      <c r="M49" s="16"/>
      <c r="N49" s="16"/>
      <c r="O49" s="16"/>
      <c r="P49" s="262" t="s">
        <v>974</v>
      </c>
    </row>
    <row r="50" spans="1:16" ht="15.75">
      <c r="A50" s="98" t="s">
        <v>227</v>
      </c>
      <c r="B50" s="215" t="s">
        <v>15</v>
      </c>
      <c r="C50" s="216"/>
      <c r="D50" s="217"/>
      <c r="E50" s="218"/>
      <c r="F50" s="219"/>
      <c r="G50" s="220"/>
      <c r="H50" s="221"/>
      <c r="I50" s="16"/>
      <c r="J50" s="16"/>
      <c r="K50" s="16"/>
      <c r="L50" s="16"/>
      <c r="M50" s="16"/>
      <c r="N50" s="16"/>
      <c r="O50" s="16"/>
      <c r="P50" s="262" t="s">
        <v>974</v>
      </c>
    </row>
    <row r="51" spans="1:16" ht="15.75">
      <c r="A51" s="98" t="s">
        <v>228</v>
      </c>
      <c r="B51" s="215" t="s">
        <v>15</v>
      </c>
      <c r="C51" s="216"/>
      <c r="D51" s="217"/>
      <c r="E51" s="218"/>
      <c r="F51" s="219"/>
      <c r="G51" s="220"/>
      <c r="H51" s="221"/>
      <c r="I51" s="16"/>
      <c r="J51" s="16"/>
      <c r="K51" s="16"/>
      <c r="L51" s="16"/>
      <c r="M51" s="16"/>
      <c r="N51" s="16"/>
      <c r="O51" s="16"/>
      <c r="P51" s="262" t="s">
        <v>974</v>
      </c>
    </row>
    <row r="52" spans="1:16" ht="15.75">
      <c r="A52" s="98" t="s">
        <v>229</v>
      </c>
      <c r="B52" s="215" t="s">
        <v>15</v>
      </c>
      <c r="C52" s="216"/>
      <c r="D52" s="217"/>
      <c r="E52" s="218"/>
      <c r="F52" s="219"/>
      <c r="G52" s="220"/>
      <c r="H52" s="221"/>
      <c r="I52" s="16"/>
      <c r="J52" s="16"/>
      <c r="K52" s="16"/>
      <c r="L52" s="16"/>
      <c r="M52" s="16"/>
      <c r="N52" s="16"/>
      <c r="O52" s="16"/>
      <c r="P52" s="262" t="s">
        <v>974</v>
      </c>
    </row>
    <row r="53" spans="1:16" ht="15.75">
      <c r="A53" s="98" t="s">
        <v>230</v>
      </c>
      <c r="B53" s="215" t="s">
        <v>15</v>
      </c>
      <c r="C53" s="216"/>
      <c r="D53" s="217"/>
      <c r="E53" s="218"/>
      <c r="F53" s="219"/>
      <c r="G53" s="220"/>
      <c r="H53" s="221"/>
      <c r="I53" s="16"/>
      <c r="J53" s="16"/>
      <c r="K53" s="16"/>
      <c r="L53" s="16"/>
      <c r="M53" s="16"/>
      <c r="N53" s="16"/>
      <c r="O53" s="16"/>
      <c r="P53" s="262" t="s">
        <v>974</v>
      </c>
    </row>
    <row r="54" spans="1:16" ht="15.75">
      <c r="A54" s="98" t="s">
        <v>231</v>
      </c>
      <c r="B54" s="215" t="s">
        <v>15</v>
      </c>
      <c r="C54" s="216"/>
      <c r="D54" s="217"/>
      <c r="E54" s="218"/>
      <c r="F54" s="219"/>
      <c r="G54" s="220"/>
      <c r="H54" s="221"/>
      <c r="I54" s="16"/>
      <c r="J54" s="16"/>
      <c r="K54" s="16"/>
      <c r="L54" s="16"/>
      <c r="M54" s="16"/>
      <c r="N54" s="16"/>
      <c r="O54" s="16"/>
      <c r="P54" s="262" t="s">
        <v>974</v>
      </c>
    </row>
    <row r="55" spans="1:16" ht="15.75">
      <c r="A55" s="98" t="s">
        <v>232</v>
      </c>
      <c r="B55" s="215" t="s">
        <v>15</v>
      </c>
      <c r="C55" s="216"/>
      <c r="D55" s="217"/>
      <c r="E55" s="218"/>
      <c r="F55" s="219"/>
      <c r="G55" s="220"/>
      <c r="H55" s="221"/>
      <c r="I55" s="16"/>
      <c r="J55" s="16"/>
      <c r="K55" s="16"/>
      <c r="L55" s="16"/>
      <c r="M55" s="16"/>
      <c r="N55" s="16"/>
      <c r="O55" s="16"/>
      <c r="P55" s="262" t="s">
        <v>974</v>
      </c>
    </row>
    <row r="56" spans="1:16" ht="15.75">
      <c r="A56" s="98" t="s">
        <v>233</v>
      </c>
      <c r="B56" s="215" t="s">
        <v>15</v>
      </c>
      <c r="C56" s="216"/>
      <c r="D56" s="217"/>
      <c r="E56" s="218"/>
      <c r="F56" s="219"/>
      <c r="G56" s="220"/>
      <c r="H56" s="221"/>
      <c r="I56" s="16"/>
      <c r="J56" s="16"/>
      <c r="K56" s="16"/>
      <c r="L56" s="16"/>
      <c r="M56" s="16"/>
      <c r="N56" s="16"/>
      <c r="O56" s="16"/>
      <c r="P56" s="262" t="s">
        <v>974</v>
      </c>
    </row>
    <row r="57" spans="1:16" ht="15.75">
      <c r="A57" s="98" t="s">
        <v>234</v>
      </c>
      <c r="B57" s="215" t="s">
        <v>15</v>
      </c>
      <c r="C57" s="216"/>
      <c r="D57" s="217"/>
      <c r="E57" s="218"/>
      <c r="F57" s="219"/>
      <c r="G57" s="220"/>
      <c r="H57" s="221"/>
      <c r="I57" s="16"/>
      <c r="J57" s="16"/>
      <c r="K57" s="16"/>
      <c r="L57" s="16"/>
      <c r="M57" s="16"/>
      <c r="N57" s="16"/>
      <c r="O57" s="16"/>
      <c r="P57" s="262" t="s">
        <v>974</v>
      </c>
    </row>
    <row r="58" spans="1:16" ht="15.75">
      <c r="A58" s="98" t="s">
        <v>235</v>
      </c>
      <c r="B58" s="215" t="s">
        <v>15</v>
      </c>
      <c r="C58" s="216"/>
      <c r="D58" s="217"/>
      <c r="E58" s="218"/>
      <c r="F58" s="219"/>
      <c r="G58" s="220"/>
      <c r="H58" s="221"/>
      <c r="I58" s="16"/>
      <c r="J58" s="16"/>
      <c r="K58" s="16"/>
      <c r="L58" s="16"/>
      <c r="M58" s="16"/>
      <c r="N58" s="16"/>
      <c r="O58" s="16"/>
      <c r="P58" s="262" t="s">
        <v>974</v>
      </c>
    </row>
    <row r="59" spans="1:16" ht="15.75">
      <c r="A59" s="98" t="s">
        <v>236</v>
      </c>
      <c r="B59" s="215" t="s">
        <v>15</v>
      </c>
      <c r="C59" s="216"/>
      <c r="D59" s="217"/>
      <c r="E59" s="218"/>
      <c r="F59" s="219"/>
      <c r="G59" s="220"/>
      <c r="H59" s="221"/>
      <c r="I59" s="16"/>
      <c r="J59" s="16"/>
      <c r="K59" s="16"/>
      <c r="L59" s="16"/>
      <c r="M59" s="16"/>
      <c r="N59" s="16"/>
      <c r="O59" s="16"/>
      <c r="P59" s="262" t="s">
        <v>974</v>
      </c>
    </row>
    <row r="60" spans="1:16" ht="15.75">
      <c r="A60" s="98" t="s">
        <v>237</v>
      </c>
      <c r="B60" s="215" t="s">
        <v>15</v>
      </c>
      <c r="C60" s="216"/>
      <c r="D60" s="217"/>
      <c r="E60" s="218"/>
      <c r="F60" s="219"/>
      <c r="G60" s="220"/>
      <c r="H60" s="221"/>
      <c r="I60" s="16"/>
      <c r="J60" s="16"/>
      <c r="K60" s="16"/>
      <c r="L60" s="16"/>
      <c r="M60" s="16"/>
      <c r="N60" s="16"/>
      <c r="O60" s="16"/>
      <c r="P60" s="262" t="s">
        <v>974</v>
      </c>
    </row>
    <row r="61" spans="1:16" ht="15.75">
      <c r="A61" s="98" t="s">
        <v>238</v>
      </c>
      <c r="B61" s="215" t="s">
        <v>15</v>
      </c>
      <c r="C61" s="216"/>
      <c r="D61" s="217"/>
      <c r="E61" s="218"/>
      <c r="F61" s="219"/>
      <c r="G61" s="220"/>
      <c r="H61" s="221"/>
      <c r="I61" s="16"/>
      <c r="J61" s="16"/>
      <c r="K61" s="16"/>
      <c r="L61" s="16"/>
      <c r="M61" s="16"/>
      <c r="N61" s="16"/>
      <c r="O61" s="16"/>
      <c r="P61" s="262" t="s">
        <v>974</v>
      </c>
    </row>
    <row r="62" spans="1:16" ht="15.75">
      <c r="A62" s="98" t="s">
        <v>239</v>
      </c>
      <c r="B62" s="215" t="s">
        <v>15</v>
      </c>
      <c r="C62" s="216"/>
      <c r="D62" s="217"/>
      <c r="E62" s="218"/>
      <c r="F62" s="219"/>
      <c r="G62" s="220"/>
      <c r="H62" s="221"/>
      <c r="I62" s="16"/>
      <c r="J62" s="16"/>
      <c r="K62" s="16"/>
      <c r="L62" s="16"/>
      <c r="M62" s="16"/>
      <c r="N62" s="16"/>
      <c r="O62" s="16"/>
      <c r="P62" s="262" t="s">
        <v>974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3" t="s">
        <v>15</v>
      </c>
      <c r="C65" s="226" t="s">
        <v>30</v>
      </c>
      <c r="D65" s="228" t="s">
        <v>11</v>
      </c>
      <c r="E65" s="230" t="s">
        <v>11</v>
      </c>
      <c r="F65" s="232" t="s">
        <v>14</v>
      </c>
      <c r="G65" s="234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974</v>
      </c>
    </row>
    <row r="66" spans="1:16">
      <c r="A66" s="99" t="s">
        <v>198</v>
      </c>
      <c r="B66" s="222" t="s">
        <v>15</v>
      </c>
      <c r="C66" s="225" t="s">
        <v>30</v>
      </c>
      <c r="D66" s="228" t="s">
        <v>11</v>
      </c>
      <c r="E66" s="230" t="s">
        <v>11</v>
      </c>
      <c r="F66" s="232" t="s">
        <v>14</v>
      </c>
      <c r="G66" s="234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974</v>
      </c>
    </row>
    <row r="67" spans="1:16">
      <c r="A67" s="99" t="s">
        <v>202</v>
      </c>
      <c r="B67" s="223" t="s">
        <v>15</v>
      </c>
      <c r="C67" s="225" t="s">
        <v>30</v>
      </c>
      <c r="D67" s="228" t="s">
        <v>11</v>
      </c>
      <c r="E67" s="230" t="s">
        <v>11</v>
      </c>
      <c r="F67" s="232" t="s">
        <v>14</v>
      </c>
      <c r="G67" s="234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974</v>
      </c>
    </row>
    <row r="68" spans="1:16">
      <c r="A68" s="99" t="s">
        <v>199</v>
      </c>
      <c r="B68" s="223" t="s">
        <v>15</v>
      </c>
      <c r="C68" s="225" t="s">
        <v>30</v>
      </c>
      <c r="D68" s="228" t="s">
        <v>11</v>
      </c>
      <c r="E68" s="230" t="s">
        <v>11</v>
      </c>
      <c r="F68" s="232" t="s">
        <v>14</v>
      </c>
      <c r="G68" s="234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974</v>
      </c>
    </row>
    <row r="69" spans="1:16">
      <c r="A69" s="99" t="s">
        <v>200</v>
      </c>
      <c r="B69" s="223" t="s">
        <v>15</v>
      </c>
      <c r="C69" s="225" t="s">
        <v>30</v>
      </c>
      <c r="D69" s="228" t="s">
        <v>11</v>
      </c>
      <c r="E69" s="230" t="s">
        <v>11</v>
      </c>
      <c r="F69" s="232" t="s">
        <v>14</v>
      </c>
      <c r="G69" s="234" t="s">
        <v>14</v>
      </c>
      <c r="H69" s="14"/>
      <c r="I69" s="14"/>
      <c r="J69" s="14"/>
      <c r="K69" s="14"/>
      <c r="L69" s="14"/>
      <c r="M69" s="14"/>
      <c r="N69" s="14"/>
      <c r="O69" s="14"/>
      <c r="P69" s="262" t="s">
        <v>974</v>
      </c>
    </row>
    <row r="70" spans="1:16">
      <c r="A70" s="99" t="s">
        <v>254</v>
      </c>
      <c r="B70" s="223" t="s">
        <v>15</v>
      </c>
      <c r="C70" s="225" t="s">
        <v>30</v>
      </c>
      <c r="D70" s="228" t="s">
        <v>11</v>
      </c>
      <c r="E70" s="230" t="s">
        <v>11</v>
      </c>
      <c r="F70" s="232" t="s">
        <v>14</v>
      </c>
      <c r="G70" s="234" t="s">
        <v>14</v>
      </c>
      <c r="H70" s="14"/>
      <c r="I70" s="14"/>
      <c r="J70" s="14"/>
      <c r="K70" s="14"/>
      <c r="L70" s="14"/>
      <c r="M70" s="14"/>
      <c r="N70" s="14"/>
      <c r="O70" s="14"/>
      <c r="P70" s="262" t="s">
        <v>974</v>
      </c>
    </row>
    <row r="71" spans="1:16" ht="15.75">
      <c r="A71" s="99" t="s">
        <v>241</v>
      </c>
      <c r="B71" s="222" t="s">
        <v>15</v>
      </c>
      <c r="C71" s="224"/>
      <c r="D71" s="227"/>
      <c r="E71" s="229"/>
      <c r="F71" s="231"/>
      <c r="G71" s="233"/>
      <c r="H71" s="14"/>
      <c r="I71" s="14"/>
      <c r="J71" s="14"/>
      <c r="K71" s="14"/>
      <c r="L71" s="14"/>
      <c r="M71" s="14"/>
      <c r="N71" s="14"/>
      <c r="O71" s="14"/>
      <c r="P71" s="262" t="s">
        <v>974</v>
      </c>
    </row>
    <row r="72" spans="1:16" ht="15.75">
      <c r="A72" s="99" t="s">
        <v>242</v>
      </c>
      <c r="B72" s="223" t="s">
        <v>15</v>
      </c>
      <c r="C72" s="224"/>
      <c r="D72" s="227"/>
      <c r="E72" s="229"/>
      <c r="F72" s="231"/>
      <c r="G72" s="233"/>
      <c r="H72" s="14"/>
      <c r="I72" s="14"/>
      <c r="J72" s="14"/>
      <c r="K72" s="14"/>
      <c r="L72" s="14"/>
      <c r="M72" s="14"/>
      <c r="N72" s="14"/>
      <c r="O72" s="14"/>
      <c r="P72" s="262" t="s">
        <v>974</v>
      </c>
    </row>
    <row r="73" spans="1:16" ht="15.75">
      <c r="A73" s="99" t="s">
        <v>243</v>
      </c>
      <c r="B73" s="223" t="s">
        <v>15</v>
      </c>
      <c r="C73" s="224"/>
      <c r="D73" s="227"/>
      <c r="E73" s="229"/>
      <c r="F73" s="231"/>
      <c r="G73" s="233"/>
      <c r="H73" s="14"/>
      <c r="I73" s="14"/>
      <c r="J73" s="14"/>
      <c r="K73" s="14"/>
      <c r="L73" s="14"/>
      <c r="M73" s="14"/>
      <c r="N73" s="14"/>
      <c r="O73" s="14"/>
      <c r="P73" s="262" t="s">
        <v>974</v>
      </c>
    </row>
    <row r="74" spans="1:16" ht="15.75">
      <c r="A74" s="99" t="s">
        <v>244</v>
      </c>
      <c r="B74" s="223" t="s">
        <v>15</v>
      </c>
      <c r="C74" s="224"/>
      <c r="D74" s="227"/>
      <c r="E74" s="229"/>
      <c r="F74" s="231"/>
      <c r="G74" s="233"/>
      <c r="H74" s="14"/>
      <c r="I74" s="14"/>
      <c r="J74" s="14"/>
      <c r="K74" s="14"/>
      <c r="L74" s="14"/>
      <c r="M74" s="14"/>
      <c r="N74" s="14"/>
      <c r="O74" s="14"/>
      <c r="P74" s="262" t="s">
        <v>974</v>
      </c>
    </row>
    <row r="75" spans="1:16" ht="15.75">
      <c r="A75" s="99" t="s">
        <v>245</v>
      </c>
      <c r="B75" s="223" t="s">
        <v>15</v>
      </c>
      <c r="C75" s="224"/>
      <c r="D75" s="227"/>
      <c r="E75" s="229"/>
      <c r="F75" s="231"/>
      <c r="G75" s="233"/>
      <c r="H75" s="14"/>
      <c r="I75" s="14"/>
      <c r="J75" s="14"/>
      <c r="K75" s="14"/>
      <c r="L75" s="14"/>
      <c r="M75" s="14"/>
      <c r="N75" s="14"/>
      <c r="O75" s="14"/>
      <c r="P75" s="262" t="s">
        <v>974</v>
      </c>
    </row>
    <row r="76" spans="1:16" ht="15.75">
      <c r="A76" s="99" t="s">
        <v>246</v>
      </c>
      <c r="B76" s="222" t="s">
        <v>15</v>
      </c>
      <c r="C76" s="224"/>
      <c r="D76" s="227"/>
      <c r="E76" s="229"/>
      <c r="F76" s="231"/>
      <c r="G76" s="233"/>
      <c r="H76" s="14"/>
      <c r="I76" s="14"/>
      <c r="J76" s="14"/>
      <c r="K76" s="14"/>
      <c r="L76" s="14"/>
      <c r="M76" s="14"/>
      <c r="N76" s="14"/>
      <c r="O76" s="14"/>
      <c r="P76" s="262" t="s">
        <v>974</v>
      </c>
    </row>
    <row r="77" spans="1:16" ht="15.75">
      <c r="A77" s="99" t="s">
        <v>247</v>
      </c>
      <c r="B77" s="223" t="s">
        <v>15</v>
      </c>
      <c r="C77" s="224"/>
      <c r="D77" s="227"/>
      <c r="E77" s="229"/>
      <c r="F77" s="231"/>
      <c r="G77" s="233"/>
      <c r="H77" s="14"/>
      <c r="I77" s="14"/>
      <c r="J77" s="14"/>
      <c r="K77" s="14"/>
      <c r="L77" s="14"/>
      <c r="M77" s="14"/>
      <c r="N77" s="14"/>
      <c r="O77" s="14"/>
      <c r="P77" s="262" t="s">
        <v>974</v>
      </c>
    </row>
    <row r="78" spans="1:16" ht="15.75">
      <c r="A78" s="99" t="s">
        <v>248</v>
      </c>
      <c r="B78" s="223" t="s">
        <v>15</v>
      </c>
      <c r="C78" s="224"/>
      <c r="D78" s="227"/>
      <c r="E78" s="229"/>
      <c r="F78" s="231"/>
      <c r="G78" s="233"/>
      <c r="H78" s="14"/>
      <c r="I78" s="14"/>
      <c r="J78" s="14"/>
      <c r="K78" s="14"/>
      <c r="L78" s="14"/>
      <c r="M78" s="14"/>
      <c r="N78" s="14"/>
      <c r="O78" s="14"/>
      <c r="P78" s="262" t="s">
        <v>974</v>
      </c>
    </row>
    <row r="79" spans="1:16" ht="15.75">
      <c r="A79" s="99" t="s">
        <v>249</v>
      </c>
      <c r="B79" s="223" t="s">
        <v>15</v>
      </c>
      <c r="C79" s="224"/>
      <c r="D79" s="227"/>
      <c r="E79" s="229"/>
      <c r="F79" s="231"/>
      <c r="G79" s="233"/>
      <c r="H79" s="14"/>
      <c r="I79" s="14"/>
      <c r="J79" s="14"/>
      <c r="K79" s="14"/>
      <c r="L79" s="14"/>
      <c r="M79" s="14"/>
      <c r="N79" s="14"/>
      <c r="O79" s="14"/>
      <c r="P79" s="262" t="s">
        <v>974</v>
      </c>
    </row>
    <row r="88" spans="1:1">
      <c r="A88" s="11"/>
    </row>
  </sheetData>
  <sheetProtection algorithmName="SHA-512" hashValue="A78ToGQ4BF+nDBG8Jh3MJUhXnQ5B3qe8AzWLTx1Y7BhnRRGrSUMUbzaef+lDDSqb2qlieJt7Jh2Z9tBJhY4GOA==" saltValue="VWNIB4nor060pU0kaIPThA==" spinCount="100000" sheet="1" objects="1" scenarios="1"/>
  <phoneticPr fontId="11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85" t="s">
        <v>25</v>
      </c>
      <c r="B4" s="386" t="s">
        <v>15</v>
      </c>
      <c r="C4" s="386">
        <v>0</v>
      </c>
      <c r="D4" s="21">
        <v>1</v>
      </c>
      <c r="E4" s="235">
        <v>0</v>
      </c>
      <c r="F4" s="236">
        <v>0</v>
      </c>
      <c r="G4" s="238"/>
      <c r="H4" s="240"/>
      <c r="I4" s="242"/>
      <c r="J4" s="244"/>
      <c r="K4" s="246"/>
      <c r="L4" s="248"/>
      <c r="M4" s="250"/>
      <c r="N4" s="252"/>
      <c r="O4" s="254"/>
    </row>
    <row r="5" spans="1:15">
      <c r="A5" s="385"/>
      <c r="B5" s="383"/>
      <c r="C5" s="387"/>
      <c r="D5" s="21">
        <v>2</v>
      </c>
      <c r="E5" s="235">
        <v>0</v>
      </c>
      <c r="F5" s="236">
        <v>0</v>
      </c>
      <c r="G5" s="237" t="s">
        <v>16</v>
      </c>
      <c r="H5" s="239" t="s">
        <v>29</v>
      </c>
      <c r="I5" s="241" t="s">
        <v>30</v>
      </c>
      <c r="J5" s="243" t="s">
        <v>11</v>
      </c>
      <c r="K5" s="245" t="s">
        <v>11</v>
      </c>
      <c r="L5" s="247" t="s">
        <v>11</v>
      </c>
      <c r="M5" s="249" t="s">
        <v>11</v>
      </c>
      <c r="N5" s="251" t="s">
        <v>14</v>
      </c>
      <c r="O5" s="253" t="s">
        <v>14</v>
      </c>
    </row>
    <row r="6" spans="1:15">
      <c r="A6" s="385"/>
      <c r="B6" s="383"/>
      <c r="C6" s="387"/>
      <c r="D6" s="21">
        <v>3</v>
      </c>
      <c r="E6" s="235">
        <v>0</v>
      </c>
      <c r="F6" s="236">
        <v>0</v>
      </c>
      <c r="G6" s="237" t="s">
        <v>16</v>
      </c>
      <c r="H6" s="239" t="s">
        <v>29</v>
      </c>
      <c r="I6" s="241" t="s">
        <v>30</v>
      </c>
      <c r="J6" s="243" t="s">
        <v>11</v>
      </c>
      <c r="K6" s="245" t="s">
        <v>11</v>
      </c>
      <c r="L6" s="247" t="s">
        <v>11</v>
      </c>
      <c r="M6" s="249" t="s">
        <v>11</v>
      </c>
      <c r="N6" s="251" t="s">
        <v>14</v>
      </c>
      <c r="O6" s="253" t="s">
        <v>14</v>
      </c>
    </row>
    <row r="7" spans="1:15">
      <c r="A7" s="384" t="s">
        <v>31</v>
      </c>
      <c r="B7" s="383" t="s">
        <v>15</v>
      </c>
      <c r="C7" s="383">
        <v>0</v>
      </c>
      <c r="D7" s="21">
        <v>1</v>
      </c>
      <c r="E7" s="235">
        <v>0</v>
      </c>
      <c r="F7" s="236">
        <v>0</v>
      </c>
      <c r="G7" s="238"/>
      <c r="H7" s="240"/>
      <c r="I7" s="242"/>
      <c r="J7" s="244"/>
      <c r="K7" s="246"/>
      <c r="L7" s="248"/>
      <c r="M7" s="250"/>
      <c r="N7" s="252"/>
      <c r="O7" s="254"/>
    </row>
    <row r="8" spans="1:15">
      <c r="A8" s="384"/>
      <c r="B8" s="383"/>
      <c r="C8" s="383"/>
      <c r="D8" s="21">
        <v>2</v>
      </c>
      <c r="E8" s="235">
        <v>0</v>
      </c>
      <c r="F8" s="236">
        <v>0</v>
      </c>
      <c r="G8" s="237" t="s">
        <v>16</v>
      </c>
      <c r="H8" s="239" t="s">
        <v>29</v>
      </c>
      <c r="I8" s="241" t="s">
        <v>30</v>
      </c>
      <c r="J8" s="243" t="s">
        <v>11</v>
      </c>
      <c r="K8" s="245" t="s">
        <v>11</v>
      </c>
      <c r="L8" s="247" t="s">
        <v>11</v>
      </c>
      <c r="M8" s="249" t="s">
        <v>11</v>
      </c>
      <c r="N8" s="251" t="s">
        <v>14</v>
      </c>
      <c r="O8" s="253" t="s">
        <v>14</v>
      </c>
    </row>
    <row r="9" spans="1:15">
      <c r="A9" s="384"/>
      <c r="B9" s="383"/>
      <c r="C9" s="383"/>
      <c r="D9" s="21">
        <v>3</v>
      </c>
      <c r="E9" s="235">
        <v>0</v>
      </c>
      <c r="F9" s="236">
        <v>0</v>
      </c>
      <c r="G9" s="237" t="s">
        <v>16</v>
      </c>
      <c r="H9" s="239" t="s">
        <v>29</v>
      </c>
      <c r="I9" s="241" t="s">
        <v>30</v>
      </c>
      <c r="J9" s="243" t="s">
        <v>11</v>
      </c>
      <c r="K9" s="245" t="s">
        <v>11</v>
      </c>
      <c r="L9" s="247" t="s">
        <v>11</v>
      </c>
      <c r="M9" s="249" t="s">
        <v>11</v>
      </c>
      <c r="N9" s="251" t="s">
        <v>14</v>
      </c>
      <c r="O9" s="253" t="s">
        <v>14</v>
      </c>
    </row>
    <row r="10" spans="1:15">
      <c r="A10" s="384" t="s">
        <v>32</v>
      </c>
      <c r="B10" s="383" t="s">
        <v>15</v>
      </c>
      <c r="C10" s="383">
        <v>0</v>
      </c>
      <c r="D10" s="21">
        <v>1</v>
      </c>
      <c r="E10" s="235">
        <v>0</v>
      </c>
      <c r="F10" s="236">
        <v>0</v>
      </c>
      <c r="G10" s="238"/>
      <c r="H10" s="240"/>
      <c r="I10" s="242"/>
      <c r="J10" s="244"/>
      <c r="K10" s="246"/>
      <c r="L10" s="248"/>
      <c r="M10" s="250"/>
      <c r="N10" s="252"/>
      <c r="O10" s="254"/>
    </row>
    <row r="11" spans="1:15">
      <c r="A11" s="384"/>
      <c r="B11" s="383"/>
      <c r="C11" s="383"/>
      <c r="D11" s="21">
        <v>2</v>
      </c>
      <c r="E11" s="235">
        <v>0</v>
      </c>
      <c r="F11" s="236">
        <v>0</v>
      </c>
      <c r="G11" s="237" t="s">
        <v>16</v>
      </c>
      <c r="H11" s="239" t="s">
        <v>29</v>
      </c>
      <c r="I11" s="241" t="s">
        <v>30</v>
      </c>
      <c r="J11" s="243" t="s">
        <v>11</v>
      </c>
      <c r="K11" s="245" t="s">
        <v>11</v>
      </c>
      <c r="L11" s="247" t="s">
        <v>11</v>
      </c>
      <c r="M11" s="249" t="s">
        <v>11</v>
      </c>
      <c r="N11" s="251" t="s">
        <v>14</v>
      </c>
      <c r="O11" s="253" t="s">
        <v>14</v>
      </c>
    </row>
    <row r="12" spans="1:15">
      <c r="A12" s="384"/>
      <c r="B12" s="383"/>
      <c r="C12" s="383"/>
      <c r="D12" s="21">
        <v>3</v>
      </c>
      <c r="E12" s="235">
        <v>0</v>
      </c>
      <c r="F12" s="236">
        <v>0</v>
      </c>
      <c r="G12" s="237" t="s">
        <v>16</v>
      </c>
      <c r="H12" s="239" t="s">
        <v>29</v>
      </c>
      <c r="I12" s="241" t="s">
        <v>30</v>
      </c>
      <c r="J12" s="243" t="s">
        <v>11</v>
      </c>
      <c r="K12" s="245" t="s">
        <v>11</v>
      </c>
      <c r="L12" s="247" t="s">
        <v>11</v>
      </c>
      <c r="M12" s="249" t="s">
        <v>11</v>
      </c>
      <c r="N12" s="251" t="s">
        <v>14</v>
      </c>
      <c r="O12" s="253" t="s">
        <v>14</v>
      </c>
    </row>
    <row r="13" spans="1:15">
      <c r="A13" s="384" t="s">
        <v>33</v>
      </c>
      <c r="B13" s="383" t="s">
        <v>15</v>
      </c>
      <c r="C13" s="383">
        <v>0</v>
      </c>
      <c r="D13" s="21">
        <v>1</v>
      </c>
      <c r="E13" s="235">
        <v>0</v>
      </c>
      <c r="F13" s="236">
        <v>0</v>
      </c>
      <c r="G13" s="238"/>
      <c r="H13" s="240"/>
      <c r="I13" s="242"/>
      <c r="J13" s="244"/>
      <c r="K13" s="246"/>
      <c r="L13" s="248"/>
      <c r="M13" s="250"/>
      <c r="N13" s="252"/>
      <c r="O13" s="254"/>
    </row>
    <row r="14" spans="1:15">
      <c r="A14" s="384"/>
      <c r="B14" s="383"/>
      <c r="C14" s="383"/>
      <c r="D14" s="21">
        <v>2</v>
      </c>
      <c r="E14" s="235">
        <v>0</v>
      </c>
      <c r="F14" s="236">
        <v>0</v>
      </c>
      <c r="G14" s="237" t="s">
        <v>16</v>
      </c>
      <c r="H14" s="239" t="s">
        <v>29</v>
      </c>
      <c r="I14" s="241" t="s">
        <v>30</v>
      </c>
      <c r="J14" s="243" t="s">
        <v>11</v>
      </c>
      <c r="K14" s="245" t="s">
        <v>11</v>
      </c>
      <c r="L14" s="247" t="s">
        <v>11</v>
      </c>
      <c r="M14" s="249" t="s">
        <v>11</v>
      </c>
      <c r="N14" s="251" t="s">
        <v>14</v>
      </c>
      <c r="O14" s="253" t="s">
        <v>14</v>
      </c>
    </row>
    <row r="15" spans="1:15">
      <c r="A15" s="384"/>
      <c r="B15" s="383"/>
      <c r="C15" s="383"/>
      <c r="D15" s="21">
        <v>3</v>
      </c>
      <c r="E15" s="235">
        <v>0</v>
      </c>
      <c r="F15" s="236">
        <v>0</v>
      </c>
      <c r="G15" s="237" t="s">
        <v>16</v>
      </c>
      <c r="H15" s="239" t="s">
        <v>29</v>
      </c>
      <c r="I15" s="241" t="s">
        <v>30</v>
      </c>
      <c r="J15" s="243" t="s">
        <v>11</v>
      </c>
      <c r="K15" s="245" t="s">
        <v>11</v>
      </c>
      <c r="L15" s="247" t="s">
        <v>11</v>
      </c>
      <c r="M15" s="249" t="s">
        <v>11</v>
      </c>
      <c r="N15" s="251" t="s">
        <v>14</v>
      </c>
      <c r="O15" s="253" t="s">
        <v>14</v>
      </c>
    </row>
    <row r="16" spans="1:15">
      <c r="A16" s="384" t="s">
        <v>34</v>
      </c>
      <c r="B16" s="383" t="s">
        <v>15</v>
      </c>
      <c r="C16" s="383">
        <v>0</v>
      </c>
      <c r="D16" s="21">
        <v>1</v>
      </c>
      <c r="E16" s="235">
        <v>0</v>
      </c>
      <c r="F16" s="236">
        <v>0</v>
      </c>
      <c r="G16" s="238"/>
      <c r="H16" s="240"/>
      <c r="I16" s="242"/>
      <c r="J16" s="244"/>
      <c r="K16" s="246"/>
      <c r="L16" s="248"/>
      <c r="M16" s="250"/>
      <c r="N16" s="252"/>
      <c r="O16" s="254"/>
    </row>
    <row r="17" spans="1:15">
      <c r="A17" s="384"/>
      <c r="B17" s="383"/>
      <c r="C17" s="383"/>
      <c r="D17" s="21">
        <v>2</v>
      </c>
      <c r="E17" s="235">
        <v>0</v>
      </c>
      <c r="F17" s="236">
        <v>0</v>
      </c>
      <c r="G17" s="237" t="s">
        <v>16</v>
      </c>
      <c r="H17" s="239" t="s">
        <v>29</v>
      </c>
      <c r="I17" s="241" t="s">
        <v>30</v>
      </c>
      <c r="J17" s="243" t="s">
        <v>11</v>
      </c>
      <c r="K17" s="245" t="s">
        <v>11</v>
      </c>
      <c r="L17" s="247" t="s">
        <v>11</v>
      </c>
      <c r="M17" s="249" t="s">
        <v>11</v>
      </c>
      <c r="N17" s="251" t="s">
        <v>14</v>
      </c>
      <c r="O17" s="253" t="s">
        <v>14</v>
      </c>
    </row>
    <row r="18" spans="1:15">
      <c r="A18" s="384"/>
      <c r="B18" s="383"/>
      <c r="C18" s="383"/>
      <c r="D18" s="21">
        <v>3</v>
      </c>
      <c r="E18" s="235">
        <v>0</v>
      </c>
      <c r="F18" s="236">
        <v>0</v>
      </c>
      <c r="G18" s="237" t="s">
        <v>16</v>
      </c>
      <c r="H18" s="239" t="s">
        <v>29</v>
      </c>
      <c r="I18" s="241" t="s">
        <v>30</v>
      </c>
      <c r="J18" s="243" t="s">
        <v>11</v>
      </c>
      <c r="K18" s="245" t="s">
        <v>11</v>
      </c>
      <c r="L18" s="247" t="s">
        <v>11</v>
      </c>
      <c r="M18" s="249" t="s">
        <v>11</v>
      </c>
      <c r="N18" s="251" t="s">
        <v>14</v>
      </c>
      <c r="O18" s="253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cYlepKvyrUIt2n6y9uiZ9CPD1tu0wrQJVs0nvJyeR9zIZaFIQyV23iGqTEh8m+Aelm6fkTG7Q+SKfCDwYBrQDw==" saltValue="pV5niOuOJl1vxOsaZYn8P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1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5" t="s">
        <v>15</v>
      </c>
      <c r="C5" s="256" t="s">
        <v>13</v>
      </c>
      <c r="D5" s="257" t="s">
        <v>30</v>
      </c>
      <c r="E5" s="258" t="s">
        <v>11</v>
      </c>
      <c r="F5" s="259" t="s">
        <v>11</v>
      </c>
      <c r="G5" s="260" t="s">
        <v>14</v>
      </c>
      <c r="H5" s="261" t="s">
        <v>14</v>
      </c>
      <c r="I5" s="262" t="s">
        <v>974</v>
      </c>
      <c r="J5" s="262" t="s">
        <v>974</v>
      </c>
    </row>
    <row r="6" spans="1:10">
      <c r="A6" s="8" t="s">
        <v>43</v>
      </c>
      <c r="B6" s="255" t="s">
        <v>15</v>
      </c>
      <c r="C6" s="256" t="s">
        <v>13</v>
      </c>
      <c r="D6" s="257" t="s">
        <v>30</v>
      </c>
      <c r="E6" s="258" t="s">
        <v>11</v>
      </c>
      <c r="F6" s="259" t="s">
        <v>11</v>
      </c>
      <c r="G6" s="260" t="s">
        <v>14</v>
      </c>
      <c r="H6" s="261" t="s">
        <v>14</v>
      </c>
      <c r="I6" s="262" t="s">
        <v>974</v>
      </c>
      <c r="J6" s="262" t="s">
        <v>974</v>
      </c>
    </row>
    <row r="7" spans="1:10">
      <c r="A7" s="8" t="s">
        <v>44</v>
      </c>
      <c r="B7" s="255" t="s">
        <v>15</v>
      </c>
      <c r="C7" s="256" t="s">
        <v>13</v>
      </c>
      <c r="D7" s="257" t="s">
        <v>30</v>
      </c>
      <c r="E7" s="258" t="s">
        <v>11</v>
      </c>
      <c r="F7" s="259" t="s">
        <v>11</v>
      </c>
      <c r="G7" s="260" t="s">
        <v>14</v>
      </c>
      <c r="H7" s="261" t="s">
        <v>14</v>
      </c>
      <c r="I7" s="262" t="s">
        <v>974</v>
      </c>
      <c r="J7" s="262" t="s">
        <v>974</v>
      </c>
    </row>
    <row r="8" spans="1:10">
      <c r="A8" s="8" t="s">
        <v>45</v>
      </c>
      <c r="B8" s="255" t="s">
        <v>15</v>
      </c>
      <c r="C8" s="256" t="s">
        <v>13</v>
      </c>
      <c r="D8" s="257"/>
      <c r="E8" s="258"/>
      <c r="F8" s="259"/>
      <c r="G8" s="260"/>
      <c r="H8" s="261"/>
      <c r="I8" s="262" t="s">
        <v>974</v>
      </c>
      <c r="J8" s="262" t="s">
        <v>974</v>
      </c>
    </row>
    <row r="9" spans="1:10">
      <c r="A9" s="8" t="s">
        <v>46</v>
      </c>
      <c r="B9" s="255" t="s">
        <v>15</v>
      </c>
      <c r="C9" s="256" t="s">
        <v>13</v>
      </c>
      <c r="D9" s="257"/>
      <c r="E9" s="258"/>
      <c r="F9" s="259"/>
      <c r="G9" s="260"/>
      <c r="H9" s="261"/>
      <c r="I9" s="262" t="s">
        <v>974</v>
      </c>
      <c r="J9" s="262" t="s">
        <v>974</v>
      </c>
    </row>
  </sheetData>
  <sheetProtection algorithmName="SHA-512" hashValue="cuuZ3reDMRIEnZN+HYlI3GfxbMNhMYQomGzL83N11llQvwJOY/2IEES92+Pp4URoOTmCZAZlfXr3KpZUxwU34A==" saltValue="9Z8SXfREVVhjhrkXAgl91g==" spinCount="100000" sheet="1" objects="1" scenarios="1"/>
  <phoneticPr fontId="11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964</v>
      </c>
      <c r="B3" s="115"/>
      <c r="C3" s="115"/>
      <c r="D3" s="115"/>
    </row>
    <row r="4" spans="1:4">
      <c r="A4" s="116" t="s">
        <v>965</v>
      </c>
      <c r="B4" s="117" t="s">
        <v>966</v>
      </c>
      <c r="C4" s="117" t="s">
        <v>967</v>
      </c>
      <c r="D4" s="117" t="s">
        <v>968</v>
      </c>
    </row>
    <row r="5" spans="1:4">
      <c r="A5" s="118" t="s">
        <v>969</v>
      </c>
      <c r="B5" s="263" t="s">
        <v>15</v>
      </c>
      <c r="C5" s="264">
        <v>0</v>
      </c>
      <c r="D5" s="265">
        <v>0</v>
      </c>
    </row>
    <row r="6" spans="1:4">
      <c r="A6" s="118" t="s">
        <v>970</v>
      </c>
      <c r="B6" s="263" t="s">
        <v>15</v>
      </c>
      <c r="C6" s="264">
        <v>0</v>
      </c>
      <c r="D6" s="265">
        <v>0</v>
      </c>
    </row>
    <row r="7" spans="1:4">
      <c r="A7" s="118" t="s">
        <v>971</v>
      </c>
      <c r="B7" s="263" t="s">
        <v>15</v>
      </c>
      <c r="C7" s="264">
        <v>0</v>
      </c>
      <c r="D7" s="265">
        <v>0</v>
      </c>
    </row>
    <row r="8" spans="1:4">
      <c r="A8" s="118" t="s">
        <v>972</v>
      </c>
      <c r="B8" s="263" t="s">
        <v>15</v>
      </c>
      <c r="C8" s="264">
        <v>0</v>
      </c>
      <c r="D8" s="265">
        <v>0</v>
      </c>
    </row>
    <row r="9" spans="1:4">
      <c r="A9" s="118" t="s">
        <v>973</v>
      </c>
      <c r="B9" s="263" t="s">
        <v>15</v>
      </c>
      <c r="C9" s="264">
        <v>0</v>
      </c>
      <c r="D9" s="265">
        <v>0</v>
      </c>
    </row>
  </sheetData>
  <sheetProtection algorithmName="SHA-512" hashValue="94fyOhlSa65P+qmWUNDGrpfNjGdKsTN8/GtABfKAxiI/a5PR1H75m8Qaw1KM9DFWJuuFOi6t6R+dhmtE3WclDA==" saltValue="fgtyLwRscFXqkk20B2r6rg==" spinCount="100000" sheet="1" objects="1" scenarios="1"/>
  <phoneticPr fontId="11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66" t="s">
        <v>831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67" t="s">
        <v>11</v>
      </c>
    </row>
    <row r="12" spans="1:2">
      <c r="A12" s="8" t="s">
        <v>388</v>
      </c>
      <c r="B12" s="267" t="s">
        <v>683</v>
      </c>
    </row>
    <row r="13" spans="1:2">
      <c r="A13" s="8" t="s">
        <v>1420</v>
      </c>
      <c r="B13" s="267" t="s">
        <v>1447</v>
      </c>
    </row>
    <row r="14" spans="1:2">
      <c r="A14" s="8" t="s">
        <v>390</v>
      </c>
      <c r="B14" s="267" t="s">
        <v>1448</v>
      </c>
    </row>
    <row r="15" spans="1:2">
      <c r="A15" s="8" t="s">
        <v>391</v>
      </c>
      <c r="B15" s="267" t="s">
        <v>1449</v>
      </c>
    </row>
    <row r="16" spans="1:2">
      <c r="A16" s="8" t="s">
        <v>392</v>
      </c>
      <c r="B16" s="267" t="s">
        <v>11</v>
      </c>
    </row>
    <row r="17" spans="1:22">
      <c r="A17" s="8" t="s">
        <v>393</v>
      </c>
      <c r="B17" s="267" t="s">
        <v>11</v>
      </c>
      <c r="G17" t="s">
        <v>255</v>
      </c>
    </row>
    <row r="18" spans="1:22">
      <c r="A18" s="8" t="s">
        <v>394</v>
      </c>
      <c r="B18" s="267" t="s">
        <v>11</v>
      </c>
    </row>
    <row r="19" spans="1:22">
      <c r="A19" s="8" t="s">
        <v>395</v>
      </c>
      <c r="B19" s="267" t="s">
        <v>11</v>
      </c>
    </row>
    <row r="20" spans="1:22">
      <c r="A20" s="8" t="s">
        <v>396</v>
      </c>
      <c r="B20" s="267" t="s">
        <v>11</v>
      </c>
    </row>
    <row r="21" spans="1:22">
      <c r="A21" s="8" t="s">
        <v>835</v>
      </c>
      <c r="B21" s="267" t="s">
        <v>11</v>
      </c>
    </row>
    <row r="22" spans="1:22">
      <c r="A22" s="8" t="s">
        <v>836</v>
      </c>
      <c r="B22" s="267" t="s">
        <v>11</v>
      </c>
    </row>
    <row r="23" spans="1:22">
      <c r="A23" s="8" t="s">
        <v>837</v>
      </c>
      <c r="B23" s="267" t="s">
        <v>11</v>
      </c>
    </row>
    <row r="24" spans="1:22">
      <c r="A24" s="8" t="s">
        <v>838</v>
      </c>
      <c r="B24" s="267" t="s">
        <v>11</v>
      </c>
    </row>
    <row r="25" spans="1:22">
      <c r="A25" s="8" t="s">
        <v>839</v>
      </c>
      <c r="B25" s="267" t="s">
        <v>11</v>
      </c>
    </row>
    <row r="26" spans="1:22">
      <c r="A26" s="8" t="s">
        <v>840</v>
      </c>
      <c r="B26" s="267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844</v>
      </c>
      <c r="H32" s="2" t="s">
        <v>401</v>
      </c>
      <c r="I32" s="2" t="s">
        <v>402</v>
      </c>
      <c r="J32" s="2" t="s">
        <v>845</v>
      </c>
      <c r="K32" s="2" t="s">
        <v>403</v>
      </c>
      <c r="L32" s="2" t="s">
        <v>404</v>
      </c>
      <c r="M32" s="2" t="s">
        <v>846</v>
      </c>
      <c r="N32" s="2" t="s">
        <v>405</v>
      </c>
      <c r="O32" s="2" t="s">
        <v>406</v>
      </c>
      <c r="P32" s="2" t="s">
        <v>847</v>
      </c>
      <c r="Q32" s="2" t="s">
        <v>407</v>
      </c>
      <c r="R32" s="2" t="s">
        <v>408</v>
      </c>
      <c r="S32" s="2" t="s">
        <v>848</v>
      </c>
      <c r="T32" s="2" t="s">
        <v>409</v>
      </c>
      <c r="U32" s="2" t="s">
        <v>410</v>
      </c>
      <c r="V32" s="3" t="s">
        <v>1347</v>
      </c>
    </row>
    <row r="33" spans="1:22">
      <c r="A33" s="10" t="s">
        <v>53</v>
      </c>
      <c r="B33" s="17" t="str">
        <f t="array" ref="B33:B57">'LTE TRX route'!B10:B34</f>
        <v>LTE_Band1</v>
      </c>
      <c r="C33" s="269" t="s">
        <v>388</v>
      </c>
      <c r="D33" s="271" t="s">
        <v>388</v>
      </c>
      <c r="E33" s="272" t="s">
        <v>295</v>
      </c>
      <c r="F33" s="273" t="s">
        <v>429</v>
      </c>
      <c r="G33" s="274"/>
      <c r="H33" s="275"/>
      <c r="I33" s="276"/>
      <c r="J33" s="277"/>
      <c r="K33" s="278"/>
      <c r="L33" s="279"/>
      <c r="M33" s="280"/>
      <c r="N33" s="281"/>
      <c r="O33" s="282"/>
      <c r="P33" s="283"/>
      <c r="Q33" s="284"/>
      <c r="R33" s="285"/>
      <c r="S33" s="286"/>
      <c r="T33" s="287"/>
      <c r="U33" s="288"/>
      <c r="V33" s="66" t="s">
        <v>1063</v>
      </c>
    </row>
    <row r="34" spans="1:22">
      <c r="A34" s="10" t="s">
        <v>54</v>
      </c>
      <c r="B34" s="17" t="str">
        <v>LTE_Band2</v>
      </c>
      <c r="C34" s="269" t="s">
        <v>388</v>
      </c>
      <c r="D34" s="271" t="s">
        <v>388</v>
      </c>
      <c r="E34" s="272" t="s">
        <v>295</v>
      </c>
      <c r="F34" s="273" t="s">
        <v>429</v>
      </c>
      <c r="G34" s="274"/>
      <c r="H34" s="275"/>
      <c r="I34" s="276"/>
      <c r="J34" s="277"/>
      <c r="K34" s="278"/>
      <c r="L34" s="279"/>
      <c r="M34" s="280"/>
      <c r="N34" s="281"/>
      <c r="O34" s="282"/>
      <c r="P34" s="283"/>
      <c r="Q34" s="284"/>
      <c r="R34" s="285"/>
      <c r="S34" s="286"/>
      <c r="T34" s="287"/>
      <c r="U34" s="288"/>
      <c r="V34" s="66" t="s">
        <v>1064</v>
      </c>
    </row>
    <row r="35" spans="1:22">
      <c r="A35" s="10" t="s">
        <v>55</v>
      </c>
      <c r="B35" s="17" t="str">
        <v>LTE_Band3</v>
      </c>
      <c r="C35" s="269" t="s">
        <v>388</v>
      </c>
      <c r="D35" s="271" t="s">
        <v>388</v>
      </c>
      <c r="E35" s="272" t="s">
        <v>295</v>
      </c>
      <c r="F35" s="273" t="s">
        <v>429</v>
      </c>
      <c r="G35" s="274"/>
      <c r="H35" s="275"/>
      <c r="I35" s="276"/>
      <c r="J35" s="277"/>
      <c r="K35" s="278"/>
      <c r="L35" s="279"/>
      <c r="M35" s="280"/>
      <c r="N35" s="281"/>
      <c r="O35" s="282"/>
      <c r="P35" s="283"/>
      <c r="Q35" s="284"/>
      <c r="R35" s="285"/>
      <c r="S35" s="286"/>
      <c r="T35" s="287"/>
      <c r="U35" s="288"/>
      <c r="V35" s="66" t="s">
        <v>1065</v>
      </c>
    </row>
    <row r="36" spans="1:22">
      <c r="A36" s="10" t="s">
        <v>56</v>
      </c>
      <c r="B36" s="17" t="str">
        <v>LTE_Band4</v>
      </c>
      <c r="C36" s="269" t="s">
        <v>388</v>
      </c>
      <c r="D36" s="271" t="s">
        <v>388</v>
      </c>
      <c r="E36" s="272" t="s">
        <v>295</v>
      </c>
      <c r="F36" s="273" t="s">
        <v>429</v>
      </c>
      <c r="G36" s="274"/>
      <c r="H36" s="275"/>
      <c r="I36" s="276"/>
      <c r="J36" s="277"/>
      <c r="K36" s="278"/>
      <c r="L36" s="279"/>
      <c r="M36" s="280"/>
      <c r="N36" s="281"/>
      <c r="O36" s="282"/>
      <c r="P36" s="283"/>
      <c r="Q36" s="284"/>
      <c r="R36" s="285"/>
      <c r="S36" s="286"/>
      <c r="T36" s="287"/>
      <c r="U36" s="288"/>
      <c r="V36" s="66" t="s">
        <v>1066</v>
      </c>
    </row>
    <row r="37" spans="1:22">
      <c r="A37" s="10" t="s">
        <v>57</v>
      </c>
      <c r="B37" s="17" t="str">
        <v>LTE_Band5</v>
      </c>
      <c r="C37" s="269" t="s">
        <v>389</v>
      </c>
      <c r="D37" s="271" t="s">
        <v>389</v>
      </c>
      <c r="E37" s="272" t="s">
        <v>295</v>
      </c>
      <c r="F37" s="273" t="s">
        <v>429</v>
      </c>
      <c r="G37" s="274"/>
      <c r="H37" s="275"/>
      <c r="I37" s="276"/>
      <c r="J37" s="277"/>
      <c r="K37" s="278"/>
      <c r="L37" s="279"/>
      <c r="M37" s="280"/>
      <c r="N37" s="281"/>
      <c r="O37" s="282"/>
      <c r="P37" s="283"/>
      <c r="Q37" s="284"/>
      <c r="R37" s="285"/>
      <c r="S37" s="286"/>
      <c r="T37" s="287"/>
      <c r="U37" s="288"/>
      <c r="V37" s="66" t="s">
        <v>1067</v>
      </c>
    </row>
    <row r="38" spans="1:22">
      <c r="A38" s="10" t="s">
        <v>58</v>
      </c>
      <c r="B38" s="17" t="str">
        <v>LTE_Band8</v>
      </c>
      <c r="C38" s="269" t="s">
        <v>388</v>
      </c>
      <c r="D38" s="271" t="s">
        <v>388</v>
      </c>
      <c r="E38" s="272" t="s">
        <v>295</v>
      </c>
      <c r="F38" s="273" t="s">
        <v>429</v>
      </c>
      <c r="G38" s="274"/>
      <c r="H38" s="275"/>
      <c r="I38" s="276"/>
      <c r="J38" s="277"/>
      <c r="K38" s="278"/>
      <c r="L38" s="279"/>
      <c r="M38" s="280"/>
      <c r="N38" s="281"/>
      <c r="O38" s="282"/>
      <c r="P38" s="283"/>
      <c r="Q38" s="284"/>
      <c r="R38" s="285"/>
      <c r="S38" s="286"/>
      <c r="T38" s="287"/>
      <c r="U38" s="288"/>
      <c r="V38" s="66" t="s">
        <v>1068</v>
      </c>
    </row>
    <row r="39" spans="1:22">
      <c r="A39" s="10" t="s">
        <v>59</v>
      </c>
      <c r="B39" s="17" t="str">
        <v>LTE_Band12</v>
      </c>
      <c r="C39" s="269" t="s">
        <v>390</v>
      </c>
      <c r="D39" s="271" t="s">
        <v>390</v>
      </c>
      <c r="E39" s="272" t="s">
        <v>295</v>
      </c>
      <c r="F39" s="273" t="s">
        <v>429</v>
      </c>
      <c r="G39" s="274"/>
      <c r="H39" s="275"/>
      <c r="I39" s="276"/>
      <c r="J39" s="277"/>
      <c r="K39" s="278"/>
      <c r="L39" s="279"/>
      <c r="M39" s="280"/>
      <c r="N39" s="281"/>
      <c r="O39" s="282"/>
      <c r="P39" s="283"/>
      <c r="Q39" s="284"/>
      <c r="R39" s="285"/>
      <c r="S39" s="286"/>
      <c r="T39" s="287"/>
      <c r="U39" s="288"/>
      <c r="V39" s="66" t="s">
        <v>1069</v>
      </c>
    </row>
    <row r="40" spans="1:22">
      <c r="A40" s="10" t="s">
        <v>60</v>
      </c>
      <c r="B40" s="17" t="str">
        <v>LTE_Band13</v>
      </c>
      <c r="C40" s="269" t="s">
        <v>390</v>
      </c>
      <c r="D40" s="271" t="s">
        <v>390</v>
      </c>
      <c r="E40" s="272" t="s">
        <v>295</v>
      </c>
      <c r="F40" s="273" t="s">
        <v>429</v>
      </c>
      <c r="G40" s="274"/>
      <c r="H40" s="275"/>
      <c r="I40" s="276"/>
      <c r="J40" s="277"/>
      <c r="K40" s="278"/>
      <c r="L40" s="279"/>
      <c r="M40" s="280"/>
      <c r="N40" s="281"/>
      <c r="O40" s="282"/>
      <c r="P40" s="283"/>
      <c r="Q40" s="284"/>
      <c r="R40" s="285"/>
      <c r="S40" s="286"/>
      <c r="T40" s="287"/>
      <c r="U40" s="288"/>
      <c r="V40" s="66" t="s">
        <v>1070</v>
      </c>
    </row>
    <row r="41" spans="1:22">
      <c r="A41" s="10" t="s">
        <v>61</v>
      </c>
      <c r="B41" s="17" t="str">
        <v>LTE_Band14</v>
      </c>
      <c r="C41" s="269" t="s">
        <v>390</v>
      </c>
      <c r="D41" s="271" t="s">
        <v>390</v>
      </c>
      <c r="E41" s="272" t="s">
        <v>295</v>
      </c>
      <c r="F41" s="273" t="s">
        <v>429</v>
      </c>
      <c r="G41" s="274"/>
      <c r="H41" s="275"/>
      <c r="I41" s="276"/>
      <c r="J41" s="277"/>
      <c r="K41" s="278"/>
      <c r="L41" s="279"/>
      <c r="M41" s="280"/>
      <c r="N41" s="281"/>
      <c r="O41" s="282"/>
      <c r="P41" s="283"/>
      <c r="Q41" s="284"/>
      <c r="R41" s="285"/>
      <c r="S41" s="286"/>
      <c r="T41" s="287"/>
      <c r="U41" s="288"/>
      <c r="V41" s="66" t="s">
        <v>1071</v>
      </c>
    </row>
    <row r="42" spans="1:22">
      <c r="A42" s="10" t="s">
        <v>62</v>
      </c>
      <c r="B42" s="17" t="str">
        <v>LTE_Band17</v>
      </c>
      <c r="C42" s="269" t="s">
        <v>390</v>
      </c>
      <c r="D42" s="271" t="s">
        <v>390</v>
      </c>
      <c r="E42" s="272" t="s">
        <v>295</v>
      </c>
      <c r="F42" s="273" t="s">
        <v>429</v>
      </c>
      <c r="G42" s="274"/>
      <c r="H42" s="275"/>
      <c r="I42" s="276"/>
      <c r="J42" s="277"/>
      <c r="K42" s="278"/>
      <c r="L42" s="279"/>
      <c r="M42" s="280"/>
      <c r="N42" s="281"/>
      <c r="O42" s="282"/>
      <c r="P42" s="283"/>
      <c r="Q42" s="284"/>
      <c r="R42" s="285"/>
      <c r="S42" s="286"/>
      <c r="T42" s="287"/>
      <c r="U42" s="288"/>
      <c r="V42" s="66" t="s">
        <v>1072</v>
      </c>
    </row>
    <row r="43" spans="1:22">
      <c r="A43" s="10" t="s">
        <v>63</v>
      </c>
      <c r="B43" s="17" t="str">
        <v>LTE_Band25</v>
      </c>
      <c r="C43" s="269" t="s">
        <v>388</v>
      </c>
      <c r="D43" s="271" t="s">
        <v>388</v>
      </c>
      <c r="E43" s="272" t="s">
        <v>295</v>
      </c>
      <c r="F43" s="273" t="s">
        <v>429</v>
      </c>
      <c r="G43" s="274"/>
      <c r="H43" s="275"/>
      <c r="I43" s="276"/>
      <c r="J43" s="277"/>
      <c r="K43" s="278"/>
      <c r="L43" s="279"/>
      <c r="M43" s="280"/>
      <c r="N43" s="281"/>
      <c r="O43" s="282"/>
      <c r="P43" s="283"/>
      <c r="Q43" s="284"/>
      <c r="R43" s="285"/>
      <c r="S43" s="286"/>
      <c r="T43" s="287"/>
      <c r="U43" s="288"/>
      <c r="V43" s="66" t="s">
        <v>1073</v>
      </c>
    </row>
    <row r="44" spans="1:22">
      <c r="A44" s="10" t="s">
        <v>64</v>
      </c>
      <c r="B44" s="17" t="str">
        <v>LTE_Band26</v>
      </c>
      <c r="C44" s="269" t="s">
        <v>389</v>
      </c>
      <c r="D44" s="271" t="s">
        <v>389</v>
      </c>
      <c r="E44" s="272" t="s">
        <v>295</v>
      </c>
      <c r="F44" s="273" t="s">
        <v>429</v>
      </c>
      <c r="G44" s="274"/>
      <c r="H44" s="275"/>
      <c r="I44" s="276"/>
      <c r="J44" s="277"/>
      <c r="K44" s="278"/>
      <c r="L44" s="279"/>
      <c r="M44" s="280"/>
      <c r="N44" s="281"/>
      <c r="O44" s="282"/>
      <c r="P44" s="283"/>
      <c r="Q44" s="284"/>
      <c r="R44" s="285"/>
      <c r="S44" s="286"/>
      <c r="T44" s="287"/>
      <c r="U44" s="288"/>
      <c r="V44" s="66" t="s">
        <v>1074</v>
      </c>
    </row>
    <row r="45" spans="1:22">
      <c r="A45" s="10" t="s">
        <v>65</v>
      </c>
      <c r="B45" s="17" t="str">
        <v>LTE_Band30</v>
      </c>
      <c r="C45" s="269" t="s">
        <v>387</v>
      </c>
      <c r="D45" s="271" t="s">
        <v>387</v>
      </c>
      <c r="E45" s="272" t="s">
        <v>295</v>
      </c>
      <c r="F45" s="273" t="s">
        <v>429</v>
      </c>
      <c r="G45" s="274">
        <v>7805</v>
      </c>
      <c r="H45" s="275" t="s">
        <v>390</v>
      </c>
      <c r="I45" s="276" t="s">
        <v>390</v>
      </c>
      <c r="J45" s="277">
        <v>8030</v>
      </c>
      <c r="K45" s="278" t="s">
        <v>390</v>
      </c>
      <c r="L45" s="279" t="s">
        <v>390</v>
      </c>
      <c r="M45" s="280">
        <v>0</v>
      </c>
      <c r="N45" s="281" t="s">
        <v>387</v>
      </c>
      <c r="O45" s="282" t="s">
        <v>387</v>
      </c>
      <c r="P45" s="283">
        <v>0</v>
      </c>
      <c r="Q45" s="284" t="s">
        <v>387</v>
      </c>
      <c r="R45" s="285" t="s">
        <v>387</v>
      </c>
      <c r="S45" s="286">
        <v>0</v>
      </c>
      <c r="T45" s="287" t="s">
        <v>387</v>
      </c>
      <c r="U45" s="288" t="s">
        <v>387</v>
      </c>
      <c r="V45" s="66" t="s">
        <v>1075</v>
      </c>
    </row>
    <row r="46" spans="1:22">
      <c r="A46" s="10" t="s">
        <v>66</v>
      </c>
      <c r="B46" s="17" t="str">
        <v>LTE_Band38</v>
      </c>
      <c r="C46" s="269" t="s">
        <v>387</v>
      </c>
      <c r="D46" s="271" t="s">
        <v>387</v>
      </c>
      <c r="E46" s="272" t="s">
        <v>295</v>
      </c>
      <c r="F46" s="273" t="s">
        <v>429</v>
      </c>
      <c r="G46" s="274"/>
      <c r="H46" s="275"/>
      <c r="I46" s="276"/>
      <c r="J46" s="277"/>
      <c r="K46" s="278"/>
      <c r="L46" s="279"/>
      <c r="M46" s="280"/>
      <c r="N46" s="281"/>
      <c r="O46" s="282"/>
      <c r="P46" s="283"/>
      <c r="Q46" s="284"/>
      <c r="R46" s="285"/>
      <c r="S46" s="286"/>
      <c r="T46" s="287"/>
      <c r="U46" s="288"/>
      <c r="V46" s="66" t="s">
        <v>1076</v>
      </c>
    </row>
    <row r="47" spans="1:22">
      <c r="A47" s="10" t="s">
        <v>67</v>
      </c>
      <c r="B47" s="17" t="str">
        <v>LTE_Band40</v>
      </c>
      <c r="C47" s="269" t="s">
        <v>387</v>
      </c>
      <c r="D47" s="271" t="s">
        <v>387</v>
      </c>
      <c r="E47" s="272" t="s">
        <v>295</v>
      </c>
      <c r="F47" s="273" t="s">
        <v>429</v>
      </c>
      <c r="G47" s="274"/>
      <c r="H47" s="275"/>
      <c r="I47" s="276"/>
      <c r="J47" s="277"/>
      <c r="K47" s="278"/>
      <c r="L47" s="279"/>
      <c r="M47" s="280"/>
      <c r="N47" s="281"/>
      <c r="O47" s="282"/>
      <c r="P47" s="283"/>
      <c r="Q47" s="284"/>
      <c r="R47" s="285"/>
      <c r="S47" s="286"/>
      <c r="T47" s="287"/>
      <c r="U47" s="288"/>
      <c r="V47" s="66" t="s">
        <v>1077</v>
      </c>
    </row>
    <row r="48" spans="1:22">
      <c r="A48" s="10" t="s">
        <v>68</v>
      </c>
      <c r="B48" s="17" t="str">
        <v>LTE_Band41</v>
      </c>
      <c r="C48" s="269" t="s">
        <v>387</v>
      </c>
      <c r="D48" s="271" t="s">
        <v>387</v>
      </c>
      <c r="E48" s="272" t="s">
        <v>295</v>
      </c>
      <c r="F48" s="273" t="s">
        <v>429</v>
      </c>
      <c r="G48" s="274"/>
      <c r="H48" s="275"/>
      <c r="I48" s="276"/>
      <c r="J48" s="277"/>
      <c r="K48" s="278"/>
      <c r="L48" s="279"/>
      <c r="M48" s="280"/>
      <c r="N48" s="281"/>
      <c r="O48" s="282"/>
      <c r="P48" s="283"/>
      <c r="Q48" s="284"/>
      <c r="R48" s="285"/>
      <c r="S48" s="286"/>
      <c r="T48" s="287"/>
      <c r="U48" s="288"/>
      <c r="V48" s="66" t="s">
        <v>1078</v>
      </c>
    </row>
    <row r="49" spans="1:22">
      <c r="A49" s="10" t="s">
        <v>69</v>
      </c>
      <c r="B49" s="17" t="str">
        <v>LTE_Band66</v>
      </c>
      <c r="C49" s="269" t="s">
        <v>388</v>
      </c>
      <c r="D49" s="271" t="s">
        <v>388</v>
      </c>
      <c r="E49" s="272" t="s">
        <v>295</v>
      </c>
      <c r="F49" s="273" t="s">
        <v>429</v>
      </c>
      <c r="G49" s="274"/>
      <c r="H49" s="275"/>
      <c r="I49" s="276"/>
      <c r="J49" s="277"/>
      <c r="K49" s="278"/>
      <c r="L49" s="279"/>
      <c r="M49" s="280"/>
      <c r="N49" s="281"/>
      <c r="O49" s="282"/>
      <c r="P49" s="283"/>
      <c r="Q49" s="284"/>
      <c r="R49" s="285"/>
      <c r="S49" s="286"/>
      <c r="T49" s="287"/>
      <c r="U49" s="288"/>
      <c r="V49" s="66" t="s">
        <v>1079</v>
      </c>
    </row>
    <row r="50" spans="1:22">
      <c r="A50" s="10" t="s">
        <v>70</v>
      </c>
      <c r="B50" s="17" t="str">
        <v>LTE_Band71</v>
      </c>
      <c r="C50" s="269" t="s">
        <v>391</v>
      </c>
      <c r="D50" s="271" t="s">
        <v>391</v>
      </c>
      <c r="E50" s="272" t="s">
        <v>295</v>
      </c>
      <c r="F50" s="273" t="s">
        <v>429</v>
      </c>
      <c r="G50" s="274"/>
      <c r="H50" s="275"/>
      <c r="I50" s="276"/>
      <c r="J50" s="277"/>
      <c r="K50" s="278"/>
      <c r="L50" s="279"/>
      <c r="M50" s="280"/>
      <c r="N50" s="281"/>
      <c r="O50" s="282"/>
      <c r="P50" s="283"/>
      <c r="Q50" s="284"/>
      <c r="R50" s="285"/>
      <c r="S50" s="286"/>
      <c r="T50" s="287"/>
      <c r="U50" s="288"/>
      <c r="V50" s="66" t="s">
        <v>1080</v>
      </c>
    </row>
    <row r="51" spans="1:22">
      <c r="A51" s="10" t="s">
        <v>71</v>
      </c>
      <c r="B51" s="17" t="str">
        <v>LTE_BandNone</v>
      </c>
      <c r="C51" s="269"/>
      <c r="D51" s="271"/>
      <c r="E51" s="272" t="s">
        <v>295</v>
      </c>
      <c r="F51" s="273" t="s">
        <v>429</v>
      </c>
      <c r="G51" s="274"/>
      <c r="H51" s="275"/>
      <c r="I51" s="276"/>
      <c r="J51" s="277"/>
      <c r="K51" s="278"/>
      <c r="L51" s="279"/>
      <c r="M51" s="280"/>
      <c r="N51" s="281"/>
      <c r="O51" s="282"/>
      <c r="P51" s="283"/>
      <c r="Q51" s="284"/>
      <c r="R51" s="285"/>
      <c r="S51" s="286"/>
      <c r="T51" s="287"/>
      <c r="U51" s="288"/>
      <c r="V51" s="66" t="s">
        <v>1081</v>
      </c>
    </row>
    <row r="52" spans="1:22">
      <c r="A52" s="10" t="s">
        <v>72</v>
      </c>
      <c r="B52" s="17" t="str">
        <v>LTE_BandNone</v>
      </c>
      <c r="C52" s="268"/>
      <c r="D52" s="270"/>
      <c r="E52" s="272" t="s">
        <v>295</v>
      </c>
      <c r="F52" s="273" t="s">
        <v>429</v>
      </c>
      <c r="G52" s="274"/>
      <c r="H52" s="275"/>
      <c r="I52" s="276"/>
      <c r="J52" s="277"/>
      <c r="K52" s="278"/>
      <c r="L52" s="279"/>
      <c r="M52" s="280"/>
      <c r="N52" s="281"/>
      <c r="O52" s="282"/>
      <c r="P52" s="283"/>
      <c r="Q52" s="284"/>
      <c r="R52" s="285"/>
      <c r="S52" s="286"/>
      <c r="T52" s="287"/>
      <c r="U52" s="288"/>
      <c r="V52" s="66" t="s">
        <v>1082</v>
      </c>
    </row>
    <row r="53" spans="1:22">
      <c r="A53" s="10" t="s">
        <v>73</v>
      </c>
      <c r="B53" s="17" t="str">
        <v>LTE_BandNone</v>
      </c>
      <c r="C53" s="268"/>
      <c r="D53" s="270"/>
      <c r="E53" s="272" t="s">
        <v>295</v>
      </c>
      <c r="F53" s="273" t="s">
        <v>429</v>
      </c>
      <c r="G53" s="274"/>
      <c r="H53" s="275"/>
      <c r="I53" s="276"/>
      <c r="J53" s="277"/>
      <c r="K53" s="278"/>
      <c r="L53" s="279"/>
      <c r="M53" s="280"/>
      <c r="N53" s="281"/>
      <c r="O53" s="282"/>
      <c r="P53" s="283"/>
      <c r="Q53" s="284"/>
      <c r="R53" s="285"/>
      <c r="S53" s="286"/>
      <c r="T53" s="287"/>
      <c r="U53" s="288"/>
      <c r="V53" s="66" t="s">
        <v>1083</v>
      </c>
    </row>
    <row r="54" spans="1:22">
      <c r="A54" s="10" t="s">
        <v>74</v>
      </c>
      <c r="B54" s="17" t="str">
        <v>LTE_BandNone</v>
      </c>
      <c r="C54" s="268"/>
      <c r="D54" s="270"/>
      <c r="E54" s="272" t="s">
        <v>295</v>
      </c>
      <c r="F54" s="273" t="s">
        <v>429</v>
      </c>
      <c r="G54" s="274"/>
      <c r="H54" s="275"/>
      <c r="I54" s="276"/>
      <c r="J54" s="277"/>
      <c r="K54" s="278"/>
      <c r="L54" s="279"/>
      <c r="M54" s="280"/>
      <c r="N54" s="281"/>
      <c r="O54" s="282"/>
      <c r="P54" s="283"/>
      <c r="Q54" s="284"/>
      <c r="R54" s="285"/>
      <c r="S54" s="286"/>
      <c r="T54" s="287"/>
      <c r="U54" s="288"/>
      <c r="V54" s="66" t="s">
        <v>1084</v>
      </c>
    </row>
    <row r="55" spans="1:22">
      <c r="A55" s="10" t="s">
        <v>75</v>
      </c>
      <c r="B55" s="17" t="str">
        <v>LTE_BandNone</v>
      </c>
      <c r="C55" s="268"/>
      <c r="D55" s="270"/>
      <c r="E55" s="272" t="s">
        <v>295</v>
      </c>
      <c r="F55" s="273" t="s">
        <v>429</v>
      </c>
      <c r="G55" s="274"/>
      <c r="H55" s="275"/>
      <c r="I55" s="276"/>
      <c r="J55" s="277"/>
      <c r="K55" s="278"/>
      <c r="L55" s="279"/>
      <c r="M55" s="280"/>
      <c r="N55" s="281"/>
      <c r="O55" s="282"/>
      <c r="P55" s="283"/>
      <c r="Q55" s="284"/>
      <c r="R55" s="285"/>
      <c r="S55" s="286"/>
      <c r="T55" s="287"/>
      <c r="U55" s="288"/>
      <c r="V55" s="66" t="s">
        <v>1085</v>
      </c>
    </row>
    <row r="56" spans="1:22">
      <c r="A56" s="10" t="s">
        <v>76</v>
      </c>
      <c r="B56" s="17" t="str">
        <v>LTE_BandNone</v>
      </c>
      <c r="C56" s="268"/>
      <c r="D56" s="270"/>
      <c r="E56" s="272" t="s">
        <v>295</v>
      </c>
      <c r="F56" s="273" t="s">
        <v>429</v>
      </c>
      <c r="G56" s="274"/>
      <c r="H56" s="275"/>
      <c r="I56" s="276"/>
      <c r="J56" s="277"/>
      <c r="K56" s="278"/>
      <c r="L56" s="279"/>
      <c r="M56" s="280"/>
      <c r="N56" s="281"/>
      <c r="O56" s="282"/>
      <c r="P56" s="283"/>
      <c r="Q56" s="284"/>
      <c r="R56" s="285"/>
      <c r="S56" s="286"/>
      <c r="T56" s="287"/>
      <c r="U56" s="288"/>
      <c r="V56" s="66" t="s">
        <v>1086</v>
      </c>
    </row>
    <row r="57" spans="1:22">
      <c r="A57" s="10" t="s">
        <v>77</v>
      </c>
      <c r="B57" s="17" t="str">
        <v>LTE_BandNone</v>
      </c>
      <c r="C57" s="268"/>
      <c r="D57" s="270"/>
      <c r="E57" s="272" t="s">
        <v>295</v>
      </c>
      <c r="F57" s="273" t="s">
        <v>429</v>
      </c>
      <c r="G57" s="274"/>
      <c r="H57" s="275"/>
      <c r="I57" s="276"/>
      <c r="J57" s="277"/>
      <c r="K57" s="278"/>
      <c r="L57" s="279"/>
      <c r="M57" s="280"/>
      <c r="N57" s="281"/>
      <c r="O57" s="282"/>
      <c r="P57" s="283"/>
      <c r="Q57" s="284"/>
      <c r="R57" s="285"/>
      <c r="S57" s="286"/>
      <c r="T57" s="287"/>
      <c r="U57" s="288"/>
      <c r="V57" s="66" t="s">
        <v>1087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844</v>
      </c>
      <c r="H63" s="2" t="s">
        <v>401</v>
      </c>
      <c r="I63" s="2" t="s">
        <v>402</v>
      </c>
      <c r="J63" s="2" t="s">
        <v>845</v>
      </c>
      <c r="K63" s="2" t="s">
        <v>403</v>
      </c>
      <c r="L63" s="2" t="s">
        <v>404</v>
      </c>
      <c r="M63" s="2" t="s">
        <v>846</v>
      </c>
      <c r="N63" s="2" t="s">
        <v>405</v>
      </c>
      <c r="O63" s="2" t="s">
        <v>406</v>
      </c>
      <c r="P63" s="2" t="s">
        <v>847</v>
      </c>
      <c r="Q63" s="2" t="s">
        <v>407</v>
      </c>
      <c r="R63" s="2" t="s">
        <v>408</v>
      </c>
      <c r="S63" s="2" t="s">
        <v>848</v>
      </c>
      <c r="T63" s="2" t="s">
        <v>409</v>
      </c>
      <c r="U63" s="2" t="s">
        <v>410</v>
      </c>
      <c r="V63" s="3" t="s">
        <v>1347</v>
      </c>
    </row>
    <row r="64" spans="1:22">
      <c r="A64" s="10" t="s">
        <v>411</v>
      </c>
      <c r="B64" s="289" t="s">
        <v>15</v>
      </c>
      <c r="C64" s="290"/>
      <c r="D64" s="291"/>
      <c r="E64" s="292" t="s">
        <v>296</v>
      </c>
      <c r="F64" s="293" t="s">
        <v>429</v>
      </c>
      <c r="G64" s="294"/>
      <c r="H64" s="295"/>
      <c r="I64" s="296"/>
      <c r="J64" s="297"/>
      <c r="K64" s="298"/>
      <c r="L64" s="299"/>
      <c r="M64" s="300"/>
      <c r="N64" s="301"/>
      <c r="O64" s="302"/>
      <c r="P64" s="303"/>
      <c r="Q64" s="304"/>
      <c r="R64" s="305"/>
      <c r="S64" s="306"/>
      <c r="T64" s="307"/>
      <c r="U64" s="308"/>
      <c r="V64" s="66" t="s">
        <v>1089</v>
      </c>
    </row>
    <row r="65" spans="1:22">
      <c r="A65" s="10" t="s">
        <v>412</v>
      </c>
      <c r="B65" s="289" t="s">
        <v>15</v>
      </c>
      <c r="C65" s="290"/>
      <c r="D65" s="291"/>
      <c r="E65" s="292" t="s">
        <v>296</v>
      </c>
      <c r="F65" s="293" t="s">
        <v>429</v>
      </c>
      <c r="G65" s="294"/>
      <c r="H65" s="295"/>
      <c r="I65" s="296"/>
      <c r="J65" s="297"/>
      <c r="K65" s="298"/>
      <c r="L65" s="299"/>
      <c r="M65" s="300"/>
      <c r="N65" s="301"/>
      <c r="O65" s="302"/>
      <c r="P65" s="303"/>
      <c r="Q65" s="304"/>
      <c r="R65" s="305"/>
      <c r="S65" s="306"/>
      <c r="T65" s="307"/>
      <c r="U65" s="308"/>
      <c r="V65" s="66" t="s">
        <v>1090</v>
      </c>
    </row>
    <row r="66" spans="1:22">
      <c r="A66" s="10" t="s">
        <v>413</v>
      </c>
      <c r="B66" s="289" t="s">
        <v>15</v>
      </c>
      <c r="C66" s="290"/>
      <c r="D66" s="291"/>
      <c r="E66" s="292" t="s">
        <v>296</v>
      </c>
      <c r="F66" s="293" t="s">
        <v>429</v>
      </c>
      <c r="G66" s="294"/>
      <c r="H66" s="295"/>
      <c r="I66" s="296"/>
      <c r="J66" s="297"/>
      <c r="K66" s="298"/>
      <c r="L66" s="299"/>
      <c r="M66" s="300"/>
      <c r="N66" s="301"/>
      <c r="O66" s="302"/>
      <c r="P66" s="303"/>
      <c r="Q66" s="304"/>
      <c r="R66" s="305"/>
      <c r="S66" s="306"/>
      <c r="T66" s="307"/>
      <c r="U66" s="308"/>
      <c r="V66" s="66" t="s">
        <v>1091</v>
      </c>
    </row>
    <row r="67" spans="1:22">
      <c r="A67" s="10" t="s">
        <v>414</v>
      </c>
      <c r="B67" s="289" t="s">
        <v>15</v>
      </c>
      <c r="C67" s="290"/>
      <c r="D67" s="291"/>
      <c r="E67" s="292" t="s">
        <v>296</v>
      </c>
      <c r="F67" s="293" t="s">
        <v>429</v>
      </c>
      <c r="G67" s="294"/>
      <c r="H67" s="295"/>
      <c r="I67" s="296"/>
      <c r="J67" s="297"/>
      <c r="K67" s="298"/>
      <c r="L67" s="299"/>
      <c r="M67" s="300"/>
      <c r="N67" s="301"/>
      <c r="O67" s="302"/>
      <c r="P67" s="303"/>
      <c r="Q67" s="304"/>
      <c r="R67" s="305"/>
      <c r="S67" s="306"/>
      <c r="T67" s="307"/>
      <c r="U67" s="308"/>
      <c r="V67" s="66" t="s">
        <v>1092</v>
      </c>
    </row>
    <row r="68" spans="1:22">
      <c r="A68" s="10" t="s">
        <v>415</v>
      </c>
      <c r="B68" s="289" t="s">
        <v>15</v>
      </c>
      <c r="C68" s="290"/>
      <c r="D68" s="291"/>
      <c r="E68" s="292" t="s">
        <v>296</v>
      </c>
      <c r="F68" s="293" t="s">
        <v>429</v>
      </c>
      <c r="G68" s="294"/>
      <c r="H68" s="295"/>
      <c r="I68" s="296"/>
      <c r="J68" s="297"/>
      <c r="K68" s="298"/>
      <c r="L68" s="299"/>
      <c r="M68" s="300"/>
      <c r="N68" s="301"/>
      <c r="O68" s="302"/>
      <c r="P68" s="303"/>
      <c r="Q68" s="304"/>
      <c r="R68" s="305"/>
      <c r="S68" s="306"/>
      <c r="T68" s="307"/>
      <c r="U68" s="308"/>
      <c r="V68" s="66" t="s">
        <v>1093</v>
      </c>
    </row>
    <row r="69" spans="1:22">
      <c r="A69" s="10" t="s">
        <v>416</v>
      </c>
      <c r="B69" s="289" t="s">
        <v>15</v>
      </c>
      <c r="C69" s="290"/>
      <c r="D69" s="291"/>
      <c r="E69" s="292" t="s">
        <v>296</v>
      </c>
      <c r="F69" s="293" t="s">
        <v>429</v>
      </c>
      <c r="G69" s="294"/>
      <c r="H69" s="295"/>
      <c r="I69" s="296"/>
      <c r="J69" s="297"/>
      <c r="K69" s="298"/>
      <c r="L69" s="299"/>
      <c r="M69" s="300"/>
      <c r="N69" s="301"/>
      <c r="O69" s="302"/>
      <c r="P69" s="303"/>
      <c r="Q69" s="304"/>
      <c r="R69" s="305"/>
      <c r="S69" s="306"/>
      <c r="T69" s="307"/>
      <c r="U69" s="308"/>
      <c r="V69" s="66" t="s">
        <v>1094</v>
      </c>
    </row>
    <row r="70" spans="1:22">
      <c r="A70" s="10" t="s">
        <v>417</v>
      </c>
      <c r="B70" s="289" t="s">
        <v>15</v>
      </c>
      <c r="C70" s="290"/>
      <c r="D70" s="291"/>
      <c r="E70" s="292" t="s">
        <v>296</v>
      </c>
      <c r="F70" s="293" t="s">
        <v>429</v>
      </c>
      <c r="G70" s="294"/>
      <c r="H70" s="295"/>
      <c r="I70" s="296"/>
      <c r="J70" s="297"/>
      <c r="K70" s="298"/>
      <c r="L70" s="299"/>
      <c r="M70" s="300"/>
      <c r="N70" s="301"/>
      <c r="O70" s="302"/>
      <c r="P70" s="303"/>
      <c r="Q70" s="304"/>
      <c r="R70" s="305"/>
      <c r="S70" s="306"/>
      <c r="T70" s="307"/>
      <c r="U70" s="308"/>
      <c r="V70" s="66" t="s">
        <v>1095</v>
      </c>
    </row>
    <row r="71" spans="1:22">
      <c r="A71" s="10" t="s">
        <v>418</v>
      </c>
      <c r="B71" s="289" t="s">
        <v>15</v>
      </c>
      <c r="C71" s="290"/>
      <c r="D71" s="291"/>
      <c r="E71" s="292" t="s">
        <v>296</v>
      </c>
      <c r="F71" s="293" t="s">
        <v>429</v>
      </c>
      <c r="G71" s="294"/>
      <c r="H71" s="295"/>
      <c r="I71" s="296"/>
      <c r="J71" s="297"/>
      <c r="K71" s="298"/>
      <c r="L71" s="299"/>
      <c r="M71" s="300"/>
      <c r="N71" s="301"/>
      <c r="O71" s="302"/>
      <c r="P71" s="303"/>
      <c r="Q71" s="304"/>
      <c r="R71" s="305"/>
      <c r="S71" s="306"/>
      <c r="T71" s="307"/>
      <c r="U71" s="308"/>
      <c r="V71" s="66" t="s">
        <v>1096</v>
      </c>
    </row>
    <row r="72" spans="1:22">
      <c r="A72" s="10" t="s">
        <v>419</v>
      </c>
      <c r="B72" s="289" t="s">
        <v>15</v>
      </c>
      <c r="C72" s="290"/>
      <c r="D72" s="291"/>
      <c r="E72" s="292" t="s">
        <v>296</v>
      </c>
      <c r="F72" s="293" t="s">
        <v>429</v>
      </c>
      <c r="G72" s="294"/>
      <c r="H72" s="295"/>
      <c r="I72" s="296"/>
      <c r="J72" s="297"/>
      <c r="K72" s="298"/>
      <c r="L72" s="299"/>
      <c r="M72" s="300"/>
      <c r="N72" s="301"/>
      <c r="O72" s="302"/>
      <c r="P72" s="303"/>
      <c r="Q72" s="304"/>
      <c r="R72" s="305"/>
      <c r="S72" s="306"/>
      <c r="T72" s="307"/>
      <c r="U72" s="308"/>
      <c r="V72" s="66" t="s">
        <v>1097</v>
      </c>
    </row>
    <row r="73" spans="1:22">
      <c r="A73" s="10" t="s">
        <v>420</v>
      </c>
      <c r="B73" s="289" t="s">
        <v>15</v>
      </c>
      <c r="C73" s="290"/>
      <c r="D73" s="291"/>
      <c r="E73" s="292" t="s">
        <v>296</v>
      </c>
      <c r="F73" s="293" t="s">
        <v>429</v>
      </c>
      <c r="G73" s="294"/>
      <c r="H73" s="295"/>
      <c r="I73" s="296"/>
      <c r="J73" s="297"/>
      <c r="K73" s="298"/>
      <c r="L73" s="299"/>
      <c r="M73" s="300"/>
      <c r="N73" s="301"/>
      <c r="O73" s="302"/>
      <c r="P73" s="303"/>
      <c r="Q73" s="304"/>
      <c r="R73" s="305"/>
      <c r="S73" s="306"/>
      <c r="T73" s="307"/>
      <c r="U73" s="308"/>
      <c r="V73" s="66" t="s">
        <v>1098</v>
      </c>
    </row>
    <row r="74" spans="1:22">
      <c r="A74" s="10" t="s">
        <v>421</v>
      </c>
      <c r="B74" s="289" t="s">
        <v>15</v>
      </c>
      <c r="C74" s="290"/>
      <c r="D74" s="291"/>
      <c r="E74" s="292" t="s">
        <v>296</v>
      </c>
      <c r="F74" s="293" t="s">
        <v>429</v>
      </c>
      <c r="G74" s="294"/>
      <c r="H74" s="295"/>
      <c r="I74" s="296"/>
      <c r="J74" s="297"/>
      <c r="K74" s="298"/>
      <c r="L74" s="299"/>
      <c r="M74" s="300"/>
      <c r="N74" s="301"/>
      <c r="O74" s="302"/>
      <c r="P74" s="303"/>
      <c r="Q74" s="304"/>
      <c r="R74" s="305"/>
      <c r="S74" s="306"/>
      <c r="T74" s="307"/>
      <c r="U74" s="308"/>
      <c r="V74" s="66" t="s">
        <v>1099</v>
      </c>
    </row>
    <row r="75" spans="1:22">
      <c r="A75" s="10" t="s">
        <v>422</v>
      </c>
      <c r="B75" s="289" t="s">
        <v>15</v>
      </c>
      <c r="C75" s="290"/>
      <c r="D75" s="291"/>
      <c r="E75" s="292" t="s">
        <v>296</v>
      </c>
      <c r="F75" s="293" t="s">
        <v>429</v>
      </c>
      <c r="G75" s="294"/>
      <c r="H75" s="295"/>
      <c r="I75" s="296"/>
      <c r="J75" s="297"/>
      <c r="K75" s="298"/>
      <c r="L75" s="299"/>
      <c r="M75" s="300"/>
      <c r="N75" s="301"/>
      <c r="O75" s="302"/>
      <c r="P75" s="303"/>
      <c r="Q75" s="304"/>
      <c r="R75" s="305"/>
      <c r="S75" s="306"/>
      <c r="T75" s="307"/>
      <c r="U75" s="308"/>
      <c r="V75" s="66" t="s">
        <v>1100</v>
      </c>
    </row>
    <row r="76" spans="1:22">
      <c r="A76" s="10" t="s">
        <v>423</v>
      </c>
      <c r="B76" s="289" t="s">
        <v>15</v>
      </c>
      <c r="C76" s="290"/>
      <c r="D76" s="291"/>
      <c r="E76" s="292" t="s">
        <v>296</v>
      </c>
      <c r="F76" s="293" t="s">
        <v>429</v>
      </c>
      <c r="G76" s="294"/>
      <c r="H76" s="295"/>
      <c r="I76" s="296"/>
      <c r="J76" s="297"/>
      <c r="K76" s="298"/>
      <c r="L76" s="299"/>
      <c r="M76" s="300"/>
      <c r="N76" s="301"/>
      <c r="O76" s="302"/>
      <c r="P76" s="303"/>
      <c r="Q76" s="304"/>
      <c r="R76" s="305"/>
      <c r="S76" s="306"/>
      <c r="T76" s="307"/>
      <c r="U76" s="308"/>
      <c r="V76" s="66" t="s">
        <v>1101</v>
      </c>
    </row>
    <row r="77" spans="1:22">
      <c r="A77" s="10" t="s">
        <v>424</v>
      </c>
      <c r="B77" s="289" t="s">
        <v>15</v>
      </c>
      <c r="C77" s="290"/>
      <c r="D77" s="291"/>
      <c r="E77" s="292" t="s">
        <v>296</v>
      </c>
      <c r="F77" s="293" t="s">
        <v>429</v>
      </c>
      <c r="G77" s="294"/>
      <c r="H77" s="295"/>
      <c r="I77" s="296"/>
      <c r="J77" s="297"/>
      <c r="K77" s="298"/>
      <c r="L77" s="299"/>
      <c r="M77" s="300"/>
      <c r="N77" s="301"/>
      <c r="O77" s="302"/>
      <c r="P77" s="303"/>
      <c r="Q77" s="304"/>
      <c r="R77" s="305"/>
      <c r="S77" s="306"/>
      <c r="T77" s="307"/>
      <c r="U77" s="308"/>
      <c r="V77" s="66" t="s">
        <v>1102</v>
      </c>
    </row>
    <row r="78" spans="1:22">
      <c r="A78" s="10" t="s">
        <v>425</v>
      </c>
      <c r="B78" s="289" t="s">
        <v>15</v>
      </c>
      <c r="C78" s="290"/>
      <c r="D78" s="291"/>
      <c r="E78" s="292" t="s">
        <v>296</v>
      </c>
      <c r="F78" s="293" t="s">
        <v>429</v>
      </c>
      <c r="G78" s="294"/>
      <c r="H78" s="295"/>
      <c r="I78" s="296"/>
      <c r="J78" s="297"/>
      <c r="K78" s="298"/>
      <c r="L78" s="299"/>
      <c r="M78" s="300"/>
      <c r="N78" s="301"/>
      <c r="O78" s="302"/>
      <c r="P78" s="303"/>
      <c r="Q78" s="304"/>
      <c r="R78" s="305"/>
      <c r="S78" s="306"/>
      <c r="T78" s="307"/>
      <c r="U78" s="308"/>
      <c r="V78" s="66" t="s">
        <v>1103</v>
      </c>
    </row>
  </sheetData>
  <sheetProtection algorithmName="SHA-512" hashValue="8kdf9R8f/oX6cubquIIR9OXQ8aGk4kUYkVT1d3qGFTK/jgxIeI0yOBjzEHYOW/qQA/Q2u55OM5aPNRVrL2dUTw==" saltValue="k1tCRNUSoPFGLCZ+A93CEA==" spinCount="100000" sheet="1" objects="1" scenarios="1"/>
  <phoneticPr fontId="11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710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09" t="s">
        <v>481</v>
      </c>
      <c r="B7" s="310" t="s">
        <v>482</v>
      </c>
      <c r="C7" s="311" t="s">
        <v>483</v>
      </c>
      <c r="D7" s="312" t="s">
        <v>482</v>
      </c>
      <c r="E7" s="313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733</v>
      </c>
      <c r="C12" s="89" t="s">
        <v>734</v>
      </c>
      <c r="D12" s="89" t="s">
        <v>735</v>
      </c>
      <c r="E12" s="90" t="s">
        <v>751</v>
      </c>
    </row>
    <row r="13" spans="1:5" ht="15.75" thickBot="1">
      <c r="A13" s="100" t="s">
        <v>494</v>
      </c>
      <c r="B13" s="314" t="s">
        <v>683</v>
      </c>
      <c r="C13" s="315" t="s">
        <v>11</v>
      </c>
      <c r="D13" s="316" t="s">
        <v>612</v>
      </c>
      <c r="E13" s="379">
        <v>4</v>
      </c>
    </row>
    <row r="14" spans="1:5">
      <c r="A14" s="100" t="s">
        <v>495</v>
      </c>
      <c r="B14" s="314" t="s">
        <v>683</v>
      </c>
      <c r="C14" s="315" t="s">
        <v>683</v>
      </c>
      <c r="D14" s="316" t="s">
        <v>612</v>
      </c>
      <c r="E14" s="82"/>
    </row>
    <row r="15" spans="1:5">
      <c r="A15" s="100" t="s">
        <v>503</v>
      </c>
      <c r="B15" s="314"/>
      <c r="C15" s="315"/>
      <c r="D15" s="316" t="s">
        <v>612</v>
      </c>
      <c r="E15" s="82"/>
    </row>
    <row r="16" spans="1:5">
      <c r="A16" s="100" t="s">
        <v>504</v>
      </c>
      <c r="B16" s="314"/>
      <c r="C16" s="315"/>
      <c r="D16" s="316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733</v>
      </c>
      <c r="C19" s="89" t="s">
        <v>734</v>
      </c>
      <c r="D19" s="89" t="s">
        <v>735</v>
      </c>
      <c r="E19" s="90" t="s">
        <v>752</v>
      </c>
    </row>
    <row r="20" spans="1:5" ht="15.75" thickBot="1">
      <c r="A20" s="100" t="s">
        <v>496</v>
      </c>
      <c r="B20" s="317" t="s">
        <v>1450</v>
      </c>
      <c r="C20" s="318" t="s">
        <v>713</v>
      </c>
      <c r="D20" s="319" t="s">
        <v>613</v>
      </c>
      <c r="E20" s="380">
        <v>4</v>
      </c>
    </row>
    <row r="21" spans="1:5">
      <c r="A21" s="100" t="s">
        <v>497</v>
      </c>
      <c r="B21" s="317" t="s">
        <v>1450</v>
      </c>
      <c r="C21" s="318" t="s">
        <v>714</v>
      </c>
      <c r="D21" s="319" t="s">
        <v>613</v>
      </c>
      <c r="E21" s="81"/>
    </row>
    <row r="22" spans="1:5">
      <c r="A22" s="100" t="s">
        <v>498</v>
      </c>
      <c r="B22" s="317" t="s">
        <v>1450</v>
      </c>
      <c r="C22" s="318" t="s">
        <v>1451</v>
      </c>
      <c r="D22" s="319" t="s">
        <v>613</v>
      </c>
      <c r="E22" s="81"/>
    </row>
    <row r="23" spans="1:5">
      <c r="A23" s="100" t="s">
        <v>499</v>
      </c>
      <c r="B23" s="317" t="s">
        <v>1450</v>
      </c>
      <c r="C23" s="318" t="s">
        <v>1452</v>
      </c>
      <c r="D23" s="319" t="s">
        <v>613</v>
      </c>
      <c r="E23" s="81"/>
    </row>
    <row r="24" spans="1:5">
      <c r="A24" s="100" t="s">
        <v>510</v>
      </c>
      <c r="B24" s="317" t="s">
        <v>1450</v>
      </c>
      <c r="C24" s="318" t="s">
        <v>1453</v>
      </c>
      <c r="D24" s="319" t="s">
        <v>613</v>
      </c>
      <c r="E24" s="81"/>
    </row>
    <row r="25" spans="1:5">
      <c r="A25" s="100" t="s">
        <v>511</v>
      </c>
      <c r="B25" s="317" t="s">
        <v>1450</v>
      </c>
      <c r="C25" s="318" t="s">
        <v>1454</v>
      </c>
      <c r="D25" s="319" t="s">
        <v>613</v>
      </c>
      <c r="E25" s="81"/>
    </row>
    <row r="26" spans="1:5">
      <c r="A26" s="100" t="s">
        <v>512</v>
      </c>
      <c r="B26" s="317"/>
      <c r="C26" s="318"/>
      <c r="D26" s="319"/>
      <c r="E26" s="81"/>
    </row>
    <row r="27" spans="1:5">
      <c r="A27" s="100" t="s">
        <v>513</v>
      </c>
      <c r="B27" s="317"/>
      <c r="C27" s="318"/>
      <c r="D27" s="319"/>
      <c r="E27" s="81"/>
    </row>
    <row r="28" spans="1:5">
      <c r="A28" s="100" t="s">
        <v>514</v>
      </c>
      <c r="B28" s="317"/>
      <c r="C28" s="318"/>
      <c r="D28" s="319"/>
      <c r="E28" s="81"/>
    </row>
    <row r="29" spans="1:5">
      <c r="A29" s="100" t="s">
        <v>515</v>
      </c>
      <c r="B29" s="317"/>
      <c r="C29" s="318"/>
      <c r="D29" s="319"/>
      <c r="E29" s="81"/>
    </row>
    <row r="30" spans="1:5">
      <c r="A30" s="100" t="s">
        <v>516</v>
      </c>
      <c r="B30" s="317"/>
      <c r="C30" s="318"/>
      <c r="D30" s="319"/>
      <c r="E30" s="81"/>
    </row>
    <row r="31" spans="1:5">
      <c r="A31" s="100" t="s">
        <v>517</v>
      </c>
      <c r="B31" s="317"/>
      <c r="C31" s="318"/>
      <c r="D31" s="319"/>
      <c r="E31" s="81"/>
    </row>
    <row r="32" spans="1:5">
      <c r="A32" s="100" t="s">
        <v>518</v>
      </c>
      <c r="B32" s="317"/>
      <c r="C32" s="318"/>
      <c r="D32" s="319"/>
      <c r="E32" s="81"/>
    </row>
    <row r="33" spans="1:5">
      <c r="A33" s="100" t="s">
        <v>519</v>
      </c>
      <c r="B33" s="317"/>
      <c r="C33" s="318"/>
      <c r="D33" s="319"/>
      <c r="E33" s="81"/>
    </row>
    <row r="34" spans="1:5">
      <c r="A34" s="100" t="s">
        <v>520</v>
      </c>
      <c r="B34" s="317"/>
      <c r="C34" s="318"/>
      <c r="D34" s="319"/>
      <c r="E34" s="81"/>
    </row>
    <row r="35" spans="1:5">
      <c r="A35" s="100" t="s">
        <v>521</v>
      </c>
      <c r="B35" s="317"/>
      <c r="C35" s="318"/>
      <c r="D35" s="319"/>
      <c r="E35" s="81"/>
    </row>
    <row r="36" spans="1:5">
      <c r="A36" s="100" t="s">
        <v>522</v>
      </c>
      <c r="B36" s="317"/>
      <c r="C36" s="318"/>
      <c r="D36" s="319"/>
      <c r="E36" s="81"/>
    </row>
    <row r="37" spans="1:5">
      <c r="A37" s="100" t="s">
        <v>523</v>
      </c>
      <c r="B37" s="317"/>
      <c r="C37" s="318"/>
      <c r="D37" s="319"/>
      <c r="E37" s="81"/>
    </row>
    <row r="38" spans="1:5">
      <c r="A38" s="100" t="s">
        <v>524</v>
      </c>
      <c r="B38" s="317"/>
      <c r="C38" s="318"/>
      <c r="D38" s="319"/>
      <c r="E38" s="81"/>
    </row>
    <row r="39" spans="1:5">
      <c r="A39" s="100" t="s">
        <v>525</v>
      </c>
      <c r="B39" s="317"/>
      <c r="C39" s="318"/>
      <c r="D39" s="319"/>
      <c r="E39" s="81"/>
    </row>
    <row r="40" spans="1:5">
      <c r="A40" s="100" t="s">
        <v>526</v>
      </c>
      <c r="B40" s="317"/>
      <c r="C40" s="318"/>
      <c r="D40" s="319"/>
      <c r="E40" s="81"/>
    </row>
    <row r="41" spans="1:5">
      <c r="A41" s="100" t="s">
        <v>527</v>
      </c>
      <c r="B41" s="317"/>
      <c r="C41" s="318"/>
      <c r="D41" s="319"/>
      <c r="E41" s="81"/>
    </row>
    <row r="42" spans="1:5">
      <c r="A42" s="100" t="s">
        <v>528</v>
      </c>
      <c r="B42" s="317"/>
      <c r="C42" s="318"/>
      <c r="D42" s="319"/>
      <c r="E42" s="81"/>
    </row>
    <row r="43" spans="1:5">
      <c r="A43" s="100" t="s">
        <v>529</v>
      </c>
      <c r="B43" s="317"/>
      <c r="C43" s="318"/>
      <c r="D43" s="319"/>
      <c r="E43" s="81"/>
    </row>
    <row r="44" spans="1:5">
      <c r="A44" s="100" t="s">
        <v>530</v>
      </c>
      <c r="B44" s="317"/>
      <c r="C44" s="318"/>
      <c r="D44" s="319"/>
      <c r="E44" s="81"/>
    </row>
    <row r="45" spans="1:5">
      <c r="A45" s="100" t="s">
        <v>531</v>
      </c>
      <c r="B45" s="317"/>
      <c r="C45" s="318"/>
      <c r="D45" s="319"/>
      <c r="E45" s="81"/>
    </row>
    <row r="46" spans="1:5">
      <c r="A46" s="100" t="s">
        <v>532</v>
      </c>
      <c r="B46" s="317"/>
      <c r="C46" s="318"/>
      <c r="D46" s="319"/>
      <c r="E46" s="81"/>
    </row>
    <row r="47" spans="1:5">
      <c r="A47" s="100" t="s">
        <v>533</v>
      </c>
      <c r="B47" s="317"/>
      <c r="C47" s="318"/>
      <c r="D47" s="319"/>
      <c r="E47" s="81"/>
    </row>
    <row r="48" spans="1:5">
      <c r="A48" s="100" t="s">
        <v>534</v>
      </c>
      <c r="B48" s="317"/>
      <c r="C48" s="318"/>
      <c r="D48" s="319"/>
      <c r="E48" s="81"/>
    </row>
    <row r="49" spans="1:18">
      <c r="A49" s="100" t="s">
        <v>535</v>
      </c>
      <c r="B49" s="317"/>
      <c r="C49" s="318"/>
      <c r="D49" s="319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88" t="s">
        <v>1404</v>
      </c>
      <c r="K54" s="389"/>
      <c r="L54" s="388" t="s">
        <v>1405</v>
      </c>
      <c r="M54" s="389"/>
      <c r="N54" s="388" t="s">
        <v>1406</v>
      </c>
      <c r="O54" s="390"/>
      <c r="P54" s="388" t="s">
        <v>1407</v>
      </c>
      <c r="Q54" s="389"/>
    </row>
    <row r="55" spans="1:18">
      <c r="A55" s="92" t="s">
        <v>573</v>
      </c>
      <c r="B55" s="2" t="s">
        <v>289</v>
      </c>
      <c r="C55" s="2" t="s">
        <v>740</v>
      </c>
      <c r="D55" s="2" t="s">
        <v>741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0" t="b">
        <v>0</v>
      </c>
      <c r="D56" s="321" t="s">
        <v>429</v>
      </c>
      <c r="E56" s="322">
        <v>4</v>
      </c>
      <c r="F56" s="323" t="s">
        <v>482</v>
      </c>
      <c r="G56" s="324" t="s">
        <v>483</v>
      </c>
      <c r="H56" s="325" t="s">
        <v>482</v>
      </c>
      <c r="I56" s="326" t="s">
        <v>483</v>
      </c>
      <c r="J56" s="327" t="s">
        <v>494</v>
      </c>
      <c r="K56" s="328" t="s">
        <v>496</v>
      </c>
      <c r="L56" s="329" t="s">
        <v>495</v>
      </c>
      <c r="M56" s="330" t="s">
        <v>496</v>
      </c>
      <c r="N56" s="331" t="s">
        <v>494</v>
      </c>
      <c r="O56" s="332" t="s">
        <v>497</v>
      </c>
      <c r="P56" s="333" t="s">
        <v>495</v>
      </c>
      <c r="Q56" s="334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0" t="b">
        <v>0</v>
      </c>
      <c r="D57" s="321" t="s">
        <v>429</v>
      </c>
      <c r="E57" s="322">
        <v>4</v>
      </c>
      <c r="F57" s="323" t="s">
        <v>482</v>
      </c>
      <c r="G57" s="324" t="s">
        <v>483</v>
      </c>
      <c r="H57" s="325" t="s">
        <v>482</v>
      </c>
      <c r="I57" s="326" t="s">
        <v>483</v>
      </c>
      <c r="J57" s="327" t="s">
        <v>494</v>
      </c>
      <c r="K57" s="328" t="s">
        <v>496</v>
      </c>
      <c r="L57" s="329" t="s">
        <v>495</v>
      </c>
      <c r="M57" s="330" t="s">
        <v>496</v>
      </c>
      <c r="N57" s="331" t="s">
        <v>494</v>
      </c>
      <c r="O57" s="332" t="s">
        <v>497</v>
      </c>
      <c r="P57" s="333" t="s">
        <v>495</v>
      </c>
      <c r="Q57" s="334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0" t="b">
        <v>0</v>
      </c>
      <c r="D58" s="321" t="s">
        <v>429</v>
      </c>
      <c r="E58" s="322">
        <v>4</v>
      </c>
      <c r="F58" s="323" t="s">
        <v>482</v>
      </c>
      <c r="G58" s="324" t="s">
        <v>483</v>
      </c>
      <c r="H58" s="325" t="s">
        <v>482</v>
      </c>
      <c r="I58" s="326" t="s">
        <v>483</v>
      </c>
      <c r="J58" s="327" t="s">
        <v>494</v>
      </c>
      <c r="K58" s="328" t="s">
        <v>496</v>
      </c>
      <c r="L58" s="329" t="s">
        <v>495</v>
      </c>
      <c r="M58" s="330" t="s">
        <v>496</v>
      </c>
      <c r="N58" s="331" t="s">
        <v>494</v>
      </c>
      <c r="O58" s="332" t="s">
        <v>497</v>
      </c>
      <c r="P58" s="333" t="s">
        <v>495</v>
      </c>
      <c r="Q58" s="334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0" t="b">
        <v>0</v>
      </c>
      <c r="D59" s="321" t="s">
        <v>429</v>
      </c>
      <c r="E59" s="322">
        <v>4</v>
      </c>
      <c r="F59" s="323" t="s">
        <v>482</v>
      </c>
      <c r="G59" s="324" t="s">
        <v>483</v>
      </c>
      <c r="H59" s="325" t="s">
        <v>482</v>
      </c>
      <c r="I59" s="326" t="s">
        <v>483</v>
      </c>
      <c r="J59" s="327" t="s">
        <v>494</v>
      </c>
      <c r="K59" s="328" t="s">
        <v>496</v>
      </c>
      <c r="L59" s="329" t="s">
        <v>495</v>
      </c>
      <c r="M59" s="330" t="s">
        <v>496</v>
      </c>
      <c r="N59" s="331" t="s">
        <v>494</v>
      </c>
      <c r="O59" s="332" t="s">
        <v>497</v>
      </c>
      <c r="P59" s="333" t="s">
        <v>495</v>
      </c>
      <c r="Q59" s="334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0" t="b">
        <v>0</v>
      </c>
      <c r="D60" s="321" t="s">
        <v>429</v>
      </c>
      <c r="E60" s="322">
        <v>4</v>
      </c>
      <c r="F60" s="323" t="s">
        <v>482</v>
      </c>
      <c r="G60" s="324" t="s">
        <v>483</v>
      </c>
      <c r="H60" s="325" t="s">
        <v>482</v>
      </c>
      <c r="I60" s="326" t="s">
        <v>483</v>
      </c>
      <c r="J60" s="327" t="s">
        <v>494</v>
      </c>
      <c r="K60" s="328" t="s">
        <v>498</v>
      </c>
      <c r="L60" s="329" t="s">
        <v>495</v>
      </c>
      <c r="M60" s="330" t="s">
        <v>498</v>
      </c>
      <c r="N60" s="331" t="s">
        <v>494</v>
      </c>
      <c r="O60" s="332" t="s">
        <v>499</v>
      </c>
      <c r="P60" s="333" t="s">
        <v>495</v>
      </c>
      <c r="Q60" s="334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0" t="b">
        <v>0</v>
      </c>
      <c r="D61" s="321" t="s">
        <v>429</v>
      </c>
      <c r="E61" s="322">
        <v>4</v>
      </c>
      <c r="F61" s="323" t="s">
        <v>482</v>
      </c>
      <c r="G61" s="324" t="s">
        <v>483</v>
      </c>
      <c r="H61" s="325" t="s">
        <v>482</v>
      </c>
      <c r="I61" s="326" t="s">
        <v>483</v>
      </c>
      <c r="J61" s="327" t="s">
        <v>494</v>
      </c>
      <c r="K61" s="328" t="s">
        <v>496</v>
      </c>
      <c r="L61" s="329" t="s">
        <v>495</v>
      </c>
      <c r="M61" s="330" t="s">
        <v>496</v>
      </c>
      <c r="N61" s="331" t="s">
        <v>494</v>
      </c>
      <c r="O61" s="332" t="s">
        <v>497</v>
      </c>
      <c r="P61" s="333" t="s">
        <v>495</v>
      </c>
      <c r="Q61" s="334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0" t="b">
        <v>0</v>
      </c>
      <c r="D62" s="321" t="s">
        <v>429</v>
      </c>
      <c r="E62" s="322">
        <v>4</v>
      </c>
      <c r="F62" s="323" t="s">
        <v>482</v>
      </c>
      <c r="G62" s="324" t="s">
        <v>483</v>
      </c>
      <c r="H62" s="325" t="s">
        <v>482</v>
      </c>
      <c r="I62" s="326" t="s">
        <v>483</v>
      </c>
      <c r="J62" s="327" t="s">
        <v>494</v>
      </c>
      <c r="K62" s="328" t="s">
        <v>496</v>
      </c>
      <c r="L62" s="329" t="s">
        <v>495</v>
      </c>
      <c r="M62" s="330" t="s">
        <v>496</v>
      </c>
      <c r="N62" s="331" t="s">
        <v>494</v>
      </c>
      <c r="O62" s="332" t="s">
        <v>497</v>
      </c>
      <c r="P62" s="333" t="s">
        <v>495</v>
      </c>
      <c r="Q62" s="334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0" t="b">
        <v>0</v>
      </c>
      <c r="D63" s="321" t="s">
        <v>429</v>
      </c>
      <c r="E63" s="322">
        <v>4</v>
      </c>
      <c r="F63" s="323" t="s">
        <v>482</v>
      </c>
      <c r="G63" s="324" t="s">
        <v>483</v>
      </c>
      <c r="H63" s="325" t="s">
        <v>482</v>
      </c>
      <c r="I63" s="326" t="s">
        <v>483</v>
      </c>
      <c r="J63" s="327" t="s">
        <v>494</v>
      </c>
      <c r="K63" s="328" t="s">
        <v>510</v>
      </c>
      <c r="L63" s="329" t="s">
        <v>495</v>
      </c>
      <c r="M63" s="330" t="s">
        <v>510</v>
      </c>
      <c r="N63" s="331" t="s">
        <v>494</v>
      </c>
      <c r="O63" s="332" t="s">
        <v>511</v>
      </c>
      <c r="P63" s="333" t="s">
        <v>495</v>
      </c>
      <c r="Q63" s="334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0" t="b">
        <v>0</v>
      </c>
      <c r="D64" s="321" t="s">
        <v>429</v>
      </c>
      <c r="E64" s="322">
        <v>4</v>
      </c>
      <c r="F64" s="323" t="s">
        <v>482</v>
      </c>
      <c r="G64" s="324" t="s">
        <v>483</v>
      </c>
      <c r="H64" s="325" t="s">
        <v>482</v>
      </c>
      <c r="I64" s="326" t="s">
        <v>483</v>
      </c>
      <c r="J64" s="327" t="s">
        <v>494</v>
      </c>
      <c r="K64" s="328" t="s">
        <v>510</v>
      </c>
      <c r="L64" s="329" t="s">
        <v>495</v>
      </c>
      <c r="M64" s="330" t="s">
        <v>510</v>
      </c>
      <c r="N64" s="331" t="s">
        <v>494</v>
      </c>
      <c r="O64" s="332" t="s">
        <v>511</v>
      </c>
      <c r="P64" s="333" t="s">
        <v>495</v>
      </c>
      <c r="Q64" s="334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0" t="b">
        <v>0</v>
      </c>
      <c r="D65" s="321" t="s">
        <v>429</v>
      </c>
      <c r="E65" s="322">
        <v>4</v>
      </c>
      <c r="F65" s="323" t="s">
        <v>482</v>
      </c>
      <c r="G65" s="324" t="s">
        <v>483</v>
      </c>
      <c r="H65" s="325" t="s">
        <v>482</v>
      </c>
      <c r="I65" s="326" t="s">
        <v>483</v>
      </c>
      <c r="J65" s="327" t="s">
        <v>494</v>
      </c>
      <c r="K65" s="328" t="s">
        <v>498</v>
      </c>
      <c r="L65" s="329" t="s">
        <v>495</v>
      </c>
      <c r="M65" s="330" t="s">
        <v>498</v>
      </c>
      <c r="N65" s="331" t="s">
        <v>494</v>
      </c>
      <c r="O65" s="332" t="s">
        <v>499</v>
      </c>
      <c r="P65" s="333" t="s">
        <v>495</v>
      </c>
      <c r="Q65" s="334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0" t="b">
        <v>0</v>
      </c>
      <c r="D66" s="321" t="s">
        <v>429</v>
      </c>
      <c r="E66" s="322">
        <v>4</v>
      </c>
      <c r="F66" s="323" t="s">
        <v>482</v>
      </c>
      <c r="G66" s="324" t="s">
        <v>483</v>
      </c>
      <c r="H66" s="325" t="s">
        <v>482</v>
      </c>
      <c r="I66" s="326" t="s">
        <v>483</v>
      </c>
      <c r="J66" s="327" t="s">
        <v>494</v>
      </c>
      <c r="K66" s="328" t="s">
        <v>498</v>
      </c>
      <c r="L66" s="329" t="s">
        <v>495</v>
      </c>
      <c r="M66" s="330" t="s">
        <v>498</v>
      </c>
      <c r="N66" s="331" t="s">
        <v>494</v>
      </c>
      <c r="O66" s="332" t="s">
        <v>499</v>
      </c>
      <c r="P66" s="333" t="s">
        <v>495</v>
      </c>
      <c r="Q66" s="334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0" t="b">
        <v>0</v>
      </c>
      <c r="D67" s="321" t="s">
        <v>429</v>
      </c>
      <c r="E67" s="322">
        <v>4</v>
      </c>
      <c r="F67" s="323" t="s">
        <v>482</v>
      </c>
      <c r="G67" s="324" t="s">
        <v>483</v>
      </c>
      <c r="H67" s="325" t="s">
        <v>482</v>
      </c>
      <c r="I67" s="326" t="s">
        <v>483</v>
      </c>
      <c r="J67" s="327" t="s">
        <v>494</v>
      </c>
      <c r="K67" s="328" t="s">
        <v>498</v>
      </c>
      <c r="L67" s="329" t="s">
        <v>495</v>
      </c>
      <c r="M67" s="330" t="s">
        <v>498</v>
      </c>
      <c r="N67" s="331" t="s">
        <v>494</v>
      </c>
      <c r="O67" s="332" t="s">
        <v>499</v>
      </c>
      <c r="P67" s="333" t="s">
        <v>495</v>
      </c>
      <c r="Q67" s="334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0" t="b">
        <v>0</v>
      </c>
      <c r="D68" s="321" t="s">
        <v>429</v>
      </c>
      <c r="E68" s="322">
        <v>4</v>
      </c>
      <c r="F68" s="323" t="s">
        <v>482</v>
      </c>
      <c r="G68" s="324" t="s">
        <v>483</v>
      </c>
      <c r="H68" s="325" t="s">
        <v>482</v>
      </c>
      <c r="I68" s="326" t="s">
        <v>483</v>
      </c>
      <c r="J68" s="327" t="s">
        <v>494</v>
      </c>
      <c r="K68" s="328" t="s">
        <v>510</v>
      </c>
      <c r="L68" s="329" t="s">
        <v>495</v>
      </c>
      <c r="M68" s="330" t="s">
        <v>510</v>
      </c>
      <c r="N68" s="331" t="s">
        <v>494</v>
      </c>
      <c r="O68" s="332" t="s">
        <v>511</v>
      </c>
      <c r="P68" s="333" t="s">
        <v>495</v>
      </c>
      <c r="Q68" s="334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0" t="b">
        <v>0</v>
      </c>
      <c r="D69" s="321" t="s">
        <v>429</v>
      </c>
      <c r="E69" s="322">
        <v>4</v>
      </c>
      <c r="F69" s="323" t="s">
        <v>482</v>
      </c>
      <c r="G69" s="324" t="s">
        <v>483</v>
      </c>
      <c r="H69" s="325" t="s">
        <v>482</v>
      </c>
      <c r="I69" s="326" t="s">
        <v>483</v>
      </c>
      <c r="J69" s="327" t="s">
        <v>494</v>
      </c>
      <c r="K69" s="328" t="s">
        <v>496</v>
      </c>
      <c r="L69" s="329" t="s">
        <v>495</v>
      </c>
      <c r="M69" s="330" t="s">
        <v>496</v>
      </c>
      <c r="N69" s="331" t="s">
        <v>494</v>
      </c>
      <c r="O69" s="332" t="s">
        <v>497</v>
      </c>
      <c r="P69" s="333" t="s">
        <v>495</v>
      </c>
      <c r="Q69" s="334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0" t="b">
        <v>0</v>
      </c>
      <c r="D70" s="321" t="s">
        <v>429</v>
      </c>
      <c r="E70" s="322">
        <v>4</v>
      </c>
      <c r="F70" s="323" t="s">
        <v>482</v>
      </c>
      <c r="G70" s="324" t="s">
        <v>483</v>
      </c>
      <c r="H70" s="325" t="s">
        <v>482</v>
      </c>
      <c r="I70" s="326" t="s">
        <v>483</v>
      </c>
      <c r="J70" s="327" t="s">
        <v>494</v>
      </c>
      <c r="K70" s="328" t="s">
        <v>496</v>
      </c>
      <c r="L70" s="329" t="s">
        <v>495</v>
      </c>
      <c r="M70" s="330" t="s">
        <v>496</v>
      </c>
      <c r="N70" s="331" t="s">
        <v>494</v>
      </c>
      <c r="O70" s="332" t="s">
        <v>497</v>
      </c>
      <c r="P70" s="333" t="s">
        <v>495</v>
      </c>
      <c r="Q70" s="334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0" t="b">
        <v>0</v>
      </c>
      <c r="D71" s="321" t="s">
        <v>429</v>
      </c>
      <c r="E71" s="322">
        <v>4</v>
      </c>
      <c r="F71" s="323" t="s">
        <v>482</v>
      </c>
      <c r="G71" s="324" t="s">
        <v>483</v>
      </c>
      <c r="H71" s="325" t="s">
        <v>482</v>
      </c>
      <c r="I71" s="326" t="s">
        <v>483</v>
      </c>
      <c r="J71" s="327" t="s">
        <v>494</v>
      </c>
      <c r="K71" s="328" t="s">
        <v>496</v>
      </c>
      <c r="L71" s="329" t="s">
        <v>495</v>
      </c>
      <c r="M71" s="330" t="s">
        <v>496</v>
      </c>
      <c r="N71" s="331" t="s">
        <v>494</v>
      </c>
      <c r="O71" s="332" t="s">
        <v>497</v>
      </c>
      <c r="P71" s="333" t="s">
        <v>495</v>
      </c>
      <c r="Q71" s="334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0" t="b">
        <v>0</v>
      </c>
      <c r="D72" s="321" t="s">
        <v>429</v>
      </c>
      <c r="E72" s="322">
        <v>4</v>
      </c>
      <c r="F72" s="323" t="s">
        <v>482</v>
      </c>
      <c r="G72" s="324" t="s">
        <v>483</v>
      </c>
      <c r="H72" s="325" t="s">
        <v>482</v>
      </c>
      <c r="I72" s="326" t="s">
        <v>483</v>
      </c>
      <c r="J72" s="327" t="s">
        <v>494</v>
      </c>
      <c r="K72" s="328" t="s">
        <v>496</v>
      </c>
      <c r="L72" s="329" t="s">
        <v>495</v>
      </c>
      <c r="M72" s="330" t="s">
        <v>496</v>
      </c>
      <c r="N72" s="331" t="s">
        <v>494</v>
      </c>
      <c r="O72" s="332" t="s">
        <v>497</v>
      </c>
      <c r="P72" s="333" t="s">
        <v>495</v>
      </c>
      <c r="Q72" s="334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0" t="b">
        <v>0</v>
      </c>
      <c r="D73" s="321" t="s">
        <v>429</v>
      </c>
      <c r="E73" s="322">
        <v>4</v>
      </c>
      <c r="F73" s="323" t="s">
        <v>482</v>
      </c>
      <c r="G73" s="324" t="s">
        <v>483</v>
      </c>
      <c r="H73" s="325" t="s">
        <v>482</v>
      </c>
      <c r="I73" s="326" t="s">
        <v>483</v>
      </c>
      <c r="J73" s="327" t="s">
        <v>494</v>
      </c>
      <c r="K73" s="328" t="s">
        <v>496</v>
      </c>
      <c r="L73" s="329" t="s">
        <v>495</v>
      </c>
      <c r="M73" s="330" t="s">
        <v>496</v>
      </c>
      <c r="N73" s="331" t="s">
        <v>494</v>
      </c>
      <c r="O73" s="332" t="s">
        <v>497</v>
      </c>
      <c r="P73" s="333" t="s">
        <v>495</v>
      </c>
      <c r="Q73" s="334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0" t="b">
        <v>0</v>
      </c>
      <c r="D74" s="321" t="s">
        <v>429</v>
      </c>
      <c r="E74" s="322">
        <v>4</v>
      </c>
      <c r="F74" s="323" t="s">
        <v>482</v>
      </c>
      <c r="G74" s="324" t="s">
        <v>483</v>
      </c>
      <c r="H74" s="325" t="s">
        <v>482</v>
      </c>
      <c r="I74" s="326" t="s">
        <v>483</v>
      </c>
      <c r="J74" s="327" t="s">
        <v>494</v>
      </c>
      <c r="K74" s="328" t="s">
        <v>496</v>
      </c>
      <c r="L74" s="329" t="s">
        <v>495</v>
      </c>
      <c r="M74" s="330" t="s">
        <v>496</v>
      </c>
      <c r="N74" s="331" t="s">
        <v>494</v>
      </c>
      <c r="O74" s="332" t="s">
        <v>497</v>
      </c>
      <c r="P74" s="333" t="s">
        <v>495</v>
      </c>
      <c r="Q74" s="334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0" t="b">
        <v>0</v>
      </c>
      <c r="D75" s="321" t="s">
        <v>429</v>
      </c>
      <c r="E75" s="322">
        <v>2</v>
      </c>
      <c r="F75" s="323" t="s">
        <v>482</v>
      </c>
      <c r="G75" s="324" t="s">
        <v>483</v>
      </c>
      <c r="H75" s="325" t="s">
        <v>482</v>
      </c>
      <c r="I75" s="326" t="s">
        <v>483</v>
      </c>
      <c r="J75" s="327"/>
      <c r="K75" s="328"/>
      <c r="L75" s="329"/>
      <c r="M75" s="330"/>
      <c r="N75" s="331"/>
      <c r="O75" s="332"/>
      <c r="P75" s="333"/>
      <c r="Q75" s="334"/>
      <c r="R75" s="66" t="s">
        <v>655</v>
      </c>
    </row>
    <row r="76" spans="1:18">
      <c r="A76" s="10" t="s">
        <v>471</v>
      </c>
      <c r="B76" s="17" t="str">
        <v>LTE_BandNone</v>
      </c>
      <c r="C76" s="320" t="b">
        <v>0</v>
      </c>
      <c r="D76" s="321" t="s">
        <v>429</v>
      </c>
      <c r="E76" s="322">
        <v>2</v>
      </c>
      <c r="F76" s="323" t="s">
        <v>482</v>
      </c>
      <c r="G76" s="324" t="s">
        <v>483</v>
      </c>
      <c r="H76" s="325" t="s">
        <v>482</v>
      </c>
      <c r="I76" s="326" t="s">
        <v>483</v>
      </c>
      <c r="J76" s="327"/>
      <c r="K76" s="328"/>
      <c r="L76" s="329"/>
      <c r="M76" s="330"/>
      <c r="N76" s="331"/>
      <c r="O76" s="332"/>
      <c r="P76" s="333"/>
      <c r="Q76" s="334"/>
      <c r="R76" s="66" t="s">
        <v>656</v>
      </c>
    </row>
    <row r="77" spans="1:18">
      <c r="A77" s="10" t="s">
        <v>472</v>
      </c>
      <c r="B77" s="17" t="str">
        <v>LTE_BandNone</v>
      </c>
      <c r="C77" s="320" t="b">
        <v>0</v>
      </c>
      <c r="D77" s="321" t="s">
        <v>429</v>
      </c>
      <c r="E77" s="322">
        <v>2</v>
      </c>
      <c r="F77" s="323" t="s">
        <v>482</v>
      </c>
      <c r="G77" s="324" t="s">
        <v>483</v>
      </c>
      <c r="H77" s="325" t="s">
        <v>482</v>
      </c>
      <c r="I77" s="326" t="s">
        <v>483</v>
      </c>
      <c r="J77" s="327"/>
      <c r="K77" s="328"/>
      <c r="L77" s="329"/>
      <c r="M77" s="330"/>
      <c r="N77" s="331"/>
      <c r="O77" s="332"/>
      <c r="P77" s="333"/>
      <c r="Q77" s="334"/>
      <c r="R77" s="66" t="s">
        <v>657</v>
      </c>
    </row>
    <row r="78" spans="1:18">
      <c r="A78" s="10" t="s">
        <v>473</v>
      </c>
      <c r="B78" s="17" t="str">
        <v>LTE_BandNone</v>
      </c>
      <c r="C78" s="320" t="b">
        <v>0</v>
      </c>
      <c r="D78" s="321" t="s">
        <v>429</v>
      </c>
      <c r="E78" s="322">
        <v>2</v>
      </c>
      <c r="F78" s="323" t="s">
        <v>482</v>
      </c>
      <c r="G78" s="324" t="s">
        <v>483</v>
      </c>
      <c r="H78" s="325" t="s">
        <v>482</v>
      </c>
      <c r="I78" s="326" t="s">
        <v>483</v>
      </c>
      <c r="J78" s="327"/>
      <c r="K78" s="328"/>
      <c r="L78" s="329"/>
      <c r="M78" s="330"/>
      <c r="N78" s="331"/>
      <c r="O78" s="332"/>
      <c r="P78" s="333"/>
      <c r="Q78" s="334"/>
      <c r="R78" s="66" t="s">
        <v>658</v>
      </c>
    </row>
    <row r="79" spans="1:18">
      <c r="A79" s="10" t="s">
        <v>474</v>
      </c>
      <c r="B79" s="17" t="str">
        <v>LTE_BandNone</v>
      </c>
      <c r="C79" s="320" t="b">
        <v>0</v>
      </c>
      <c r="D79" s="321" t="s">
        <v>429</v>
      </c>
      <c r="E79" s="322">
        <v>2</v>
      </c>
      <c r="F79" s="323" t="s">
        <v>482</v>
      </c>
      <c r="G79" s="324" t="s">
        <v>483</v>
      </c>
      <c r="H79" s="325" t="s">
        <v>482</v>
      </c>
      <c r="I79" s="326" t="s">
        <v>483</v>
      </c>
      <c r="J79" s="327"/>
      <c r="K79" s="328"/>
      <c r="L79" s="329"/>
      <c r="M79" s="330"/>
      <c r="N79" s="331"/>
      <c r="O79" s="332"/>
      <c r="P79" s="333"/>
      <c r="Q79" s="334"/>
      <c r="R79" s="66" t="s">
        <v>659</v>
      </c>
    </row>
    <row r="80" spans="1:18">
      <c r="A80" s="10" t="s">
        <v>475</v>
      </c>
      <c r="B80" s="17" t="str">
        <v>LTE_BandNone</v>
      </c>
      <c r="C80" s="320" t="b">
        <v>0</v>
      </c>
      <c r="D80" s="321" t="s">
        <v>429</v>
      </c>
      <c r="E80" s="322">
        <v>2</v>
      </c>
      <c r="F80" s="323" t="s">
        <v>482</v>
      </c>
      <c r="G80" s="324" t="s">
        <v>483</v>
      </c>
      <c r="H80" s="325" t="s">
        <v>482</v>
      </c>
      <c r="I80" s="326" t="s">
        <v>483</v>
      </c>
      <c r="J80" s="327"/>
      <c r="K80" s="328"/>
      <c r="L80" s="329"/>
      <c r="M80" s="330"/>
      <c r="N80" s="331"/>
      <c r="O80" s="332"/>
      <c r="P80" s="333"/>
      <c r="Q80" s="334"/>
      <c r="R80" s="66" t="s">
        <v>660</v>
      </c>
    </row>
    <row r="83" spans="1:18" ht="15.75" thickBot="1"/>
    <row r="84" spans="1:18" ht="15.75" thickBot="1">
      <c r="A84" s="6" t="s">
        <v>536</v>
      </c>
      <c r="J84" s="388" t="s">
        <v>1404</v>
      </c>
      <c r="K84" s="389"/>
      <c r="L84" s="388" t="s">
        <v>1405</v>
      </c>
      <c r="M84" s="389"/>
      <c r="N84" s="388" t="s">
        <v>1406</v>
      </c>
      <c r="O84" s="390"/>
      <c r="P84" s="388" t="s">
        <v>1407</v>
      </c>
      <c r="Q84" s="389"/>
    </row>
    <row r="85" spans="1:18">
      <c r="A85" s="94" t="s">
        <v>615</v>
      </c>
      <c r="B85" s="2" t="s">
        <v>289</v>
      </c>
      <c r="C85" s="2" t="s">
        <v>740</v>
      </c>
      <c r="D85" s="2" t="s">
        <v>741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5" t="s">
        <v>15</v>
      </c>
      <c r="C86" s="336" t="b">
        <v>0</v>
      </c>
      <c r="D86" s="337" t="s">
        <v>429</v>
      </c>
      <c r="E86" s="338">
        <v>4</v>
      </c>
      <c r="F86" s="339" t="s">
        <v>482</v>
      </c>
      <c r="G86" s="340" t="s">
        <v>483</v>
      </c>
      <c r="H86" s="341" t="s">
        <v>482</v>
      </c>
      <c r="I86" s="342" t="s">
        <v>483</v>
      </c>
      <c r="J86" s="343" t="s">
        <v>494</v>
      </c>
      <c r="K86" s="344" t="s">
        <v>498</v>
      </c>
      <c r="L86" s="345" t="s">
        <v>495</v>
      </c>
      <c r="M86" s="346" t="s">
        <v>498</v>
      </c>
      <c r="N86" s="347" t="s">
        <v>494</v>
      </c>
      <c r="O86" s="348" t="s">
        <v>499</v>
      </c>
      <c r="P86" s="349" t="s">
        <v>495</v>
      </c>
      <c r="Q86" s="350" t="s">
        <v>499</v>
      </c>
      <c r="R86" s="66" t="s">
        <v>662</v>
      </c>
    </row>
    <row r="87" spans="1:18">
      <c r="A87" s="10" t="s">
        <v>545</v>
      </c>
      <c r="B87" s="335" t="s">
        <v>15</v>
      </c>
      <c r="C87" s="336" t="b">
        <v>0</v>
      </c>
      <c r="D87" s="337" t="s">
        <v>429</v>
      </c>
      <c r="E87" s="338">
        <v>2</v>
      </c>
      <c r="F87" s="339" t="s">
        <v>482</v>
      </c>
      <c r="G87" s="340" t="s">
        <v>483</v>
      </c>
      <c r="H87" s="341" t="s">
        <v>482</v>
      </c>
      <c r="I87" s="342" t="s">
        <v>483</v>
      </c>
      <c r="J87" s="343"/>
      <c r="K87" s="344"/>
      <c r="L87" s="345"/>
      <c r="M87" s="346"/>
      <c r="N87" s="347"/>
      <c r="O87" s="348"/>
      <c r="P87" s="349"/>
      <c r="Q87" s="350"/>
      <c r="R87" s="66" t="s">
        <v>663</v>
      </c>
    </row>
    <row r="88" spans="1:18">
      <c r="A88" s="10" t="s">
        <v>546</v>
      </c>
      <c r="B88" s="335" t="s">
        <v>15</v>
      </c>
      <c r="C88" s="336" t="b">
        <v>0</v>
      </c>
      <c r="D88" s="337" t="s">
        <v>429</v>
      </c>
      <c r="E88" s="338">
        <v>2</v>
      </c>
      <c r="F88" s="339" t="s">
        <v>482</v>
      </c>
      <c r="G88" s="340" t="s">
        <v>483</v>
      </c>
      <c r="H88" s="341" t="s">
        <v>482</v>
      </c>
      <c r="I88" s="342" t="s">
        <v>483</v>
      </c>
      <c r="J88" s="343"/>
      <c r="K88" s="344"/>
      <c r="L88" s="345"/>
      <c r="M88" s="346"/>
      <c r="N88" s="347"/>
      <c r="O88" s="348"/>
      <c r="P88" s="349"/>
      <c r="Q88" s="350"/>
      <c r="R88" s="66" t="s">
        <v>664</v>
      </c>
    </row>
    <row r="89" spans="1:18">
      <c r="A89" s="10" t="s">
        <v>547</v>
      </c>
      <c r="B89" s="335" t="s">
        <v>15</v>
      </c>
      <c r="C89" s="336" t="b">
        <v>0</v>
      </c>
      <c r="D89" s="337" t="s">
        <v>429</v>
      </c>
      <c r="E89" s="338">
        <v>2</v>
      </c>
      <c r="F89" s="339" t="s">
        <v>482</v>
      </c>
      <c r="G89" s="340" t="s">
        <v>483</v>
      </c>
      <c r="H89" s="341" t="s">
        <v>482</v>
      </c>
      <c r="I89" s="342" t="s">
        <v>483</v>
      </c>
      <c r="J89" s="343"/>
      <c r="K89" s="344"/>
      <c r="L89" s="345"/>
      <c r="M89" s="346"/>
      <c r="N89" s="347"/>
      <c r="O89" s="348"/>
      <c r="P89" s="349"/>
      <c r="Q89" s="350"/>
      <c r="R89" s="66" t="s">
        <v>665</v>
      </c>
    </row>
    <row r="90" spans="1:18">
      <c r="A90" s="10" t="s">
        <v>548</v>
      </c>
      <c r="B90" s="335" t="s">
        <v>15</v>
      </c>
      <c r="C90" s="336" t="b">
        <v>0</v>
      </c>
      <c r="D90" s="337" t="s">
        <v>429</v>
      </c>
      <c r="E90" s="338">
        <v>2</v>
      </c>
      <c r="F90" s="339" t="s">
        <v>482</v>
      </c>
      <c r="G90" s="340" t="s">
        <v>483</v>
      </c>
      <c r="H90" s="341" t="s">
        <v>482</v>
      </c>
      <c r="I90" s="342" t="s">
        <v>483</v>
      </c>
      <c r="J90" s="343"/>
      <c r="K90" s="344"/>
      <c r="L90" s="345"/>
      <c r="M90" s="346"/>
      <c r="N90" s="347"/>
      <c r="O90" s="348"/>
      <c r="P90" s="349"/>
      <c r="Q90" s="350"/>
      <c r="R90" s="66" t="s">
        <v>666</v>
      </c>
    </row>
    <row r="91" spans="1:18">
      <c r="A91" s="10" t="s">
        <v>549</v>
      </c>
      <c r="B91" s="335" t="s">
        <v>15</v>
      </c>
      <c r="C91" s="336" t="b">
        <v>0</v>
      </c>
      <c r="D91" s="337" t="s">
        <v>429</v>
      </c>
      <c r="E91" s="338">
        <v>2</v>
      </c>
      <c r="F91" s="339" t="s">
        <v>482</v>
      </c>
      <c r="G91" s="340" t="s">
        <v>483</v>
      </c>
      <c r="H91" s="341" t="s">
        <v>482</v>
      </c>
      <c r="I91" s="342" t="s">
        <v>483</v>
      </c>
      <c r="J91" s="343"/>
      <c r="K91" s="344"/>
      <c r="L91" s="345"/>
      <c r="M91" s="346"/>
      <c r="N91" s="347"/>
      <c r="O91" s="348"/>
      <c r="P91" s="349"/>
      <c r="Q91" s="350"/>
      <c r="R91" s="66" t="s">
        <v>667</v>
      </c>
    </row>
    <row r="92" spans="1:18">
      <c r="A92" s="10" t="s">
        <v>550</v>
      </c>
      <c r="B92" s="335" t="s">
        <v>15</v>
      </c>
      <c r="C92" s="336" t="b">
        <v>0</v>
      </c>
      <c r="D92" s="337" t="s">
        <v>429</v>
      </c>
      <c r="E92" s="338">
        <v>2</v>
      </c>
      <c r="F92" s="339" t="s">
        <v>482</v>
      </c>
      <c r="G92" s="340" t="s">
        <v>483</v>
      </c>
      <c r="H92" s="341" t="s">
        <v>482</v>
      </c>
      <c r="I92" s="342" t="s">
        <v>483</v>
      </c>
      <c r="J92" s="343"/>
      <c r="K92" s="344"/>
      <c r="L92" s="345"/>
      <c r="M92" s="346"/>
      <c r="N92" s="347"/>
      <c r="O92" s="348"/>
      <c r="P92" s="349"/>
      <c r="Q92" s="350"/>
      <c r="R92" s="66" t="s">
        <v>668</v>
      </c>
    </row>
    <row r="93" spans="1:18">
      <c r="A93" s="10" t="s">
        <v>551</v>
      </c>
      <c r="B93" s="335" t="s">
        <v>15</v>
      </c>
      <c r="C93" s="336" t="b">
        <v>0</v>
      </c>
      <c r="D93" s="337" t="s">
        <v>429</v>
      </c>
      <c r="E93" s="338">
        <v>2</v>
      </c>
      <c r="F93" s="339" t="s">
        <v>482</v>
      </c>
      <c r="G93" s="340" t="s">
        <v>483</v>
      </c>
      <c r="H93" s="341" t="s">
        <v>482</v>
      </c>
      <c r="I93" s="342" t="s">
        <v>483</v>
      </c>
      <c r="J93" s="343"/>
      <c r="K93" s="344"/>
      <c r="L93" s="345"/>
      <c r="M93" s="346"/>
      <c r="N93" s="347"/>
      <c r="O93" s="348"/>
      <c r="P93" s="349"/>
      <c r="Q93" s="350"/>
      <c r="R93" s="66" t="s">
        <v>669</v>
      </c>
    </row>
    <row r="94" spans="1:18">
      <c r="A94" s="10" t="s">
        <v>552</v>
      </c>
      <c r="B94" s="335" t="s">
        <v>15</v>
      </c>
      <c r="C94" s="336" t="b">
        <v>0</v>
      </c>
      <c r="D94" s="337" t="s">
        <v>429</v>
      </c>
      <c r="E94" s="338">
        <v>2</v>
      </c>
      <c r="F94" s="339" t="s">
        <v>482</v>
      </c>
      <c r="G94" s="340" t="s">
        <v>483</v>
      </c>
      <c r="H94" s="341" t="s">
        <v>482</v>
      </c>
      <c r="I94" s="342" t="s">
        <v>483</v>
      </c>
      <c r="J94" s="343"/>
      <c r="K94" s="344"/>
      <c r="L94" s="345"/>
      <c r="M94" s="346"/>
      <c r="N94" s="347"/>
      <c r="O94" s="348"/>
      <c r="P94" s="349"/>
      <c r="Q94" s="350"/>
      <c r="R94" s="66" t="s">
        <v>670</v>
      </c>
    </row>
    <row r="95" spans="1:18">
      <c r="A95" s="10" t="s">
        <v>553</v>
      </c>
      <c r="B95" s="335" t="s">
        <v>15</v>
      </c>
      <c r="C95" s="336" t="b">
        <v>0</v>
      </c>
      <c r="D95" s="337" t="s">
        <v>429</v>
      </c>
      <c r="E95" s="338">
        <v>2</v>
      </c>
      <c r="F95" s="339" t="s">
        <v>482</v>
      </c>
      <c r="G95" s="340" t="s">
        <v>483</v>
      </c>
      <c r="H95" s="341" t="s">
        <v>482</v>
      </c>
      <c r="I95" s="342" t="s">
        <v>483</v>
      </c>
      <c r="J95" s="343"/>
      <c r="K95" s="344"/>
      <c r="L95" s="345"/>
      <c r="M95" s="346"/>
      <c r="N95" s="347"/>
      <c r="O95" s="348"/>
      <c r="P95" s="349"/>
      <c r="Q95" s="350"/>
      <c r="R95" s="66" t="s">
        <v>671</v>
      </c>
    </row>
    <row r="96" spans="1:18">
      <c r="A96" s="10" t="s">
        <v>554</v>
      </c>
      <c r="B96" s="335" t="s">
        <v>15</v>
      </c>
      <c r="C96" s="336" t="b">
        <v>0</v>
      </c>
      <c r="D96" s="337" t="s">
        <v>429</v>
      </c>
      <c r="E96" s="338">
        <v>2</v>
      </c>
      <c r="F96" s="339" t="s">
        <v>482</v>
      </c>
      <c r="G96" s="340" t="s">
        <v>483</v>
      </c>
      <c r="H96" s="341" t="s">
        <v>482</v>
      </c>
      <c r="I96" s="342" t="s">
        <v>483</v>
      </c>
      <c r="J96" s="343"/>
      <c r="K96" s="344"/>
      <c r="L96" s="345"/>
      <c r="M96" s="346"/>
      <c r="N96" s="347"/>
      <c r="O96" s="348"/>
      <c r="P96" s="349"/>
      <c r="Q96" s="350"/>
      <c r="R96" s="66" t="s">
        <v>672</v>
      </c>
    </row>
    <row r="97" spans="1:18">
      <c r="A97" s="10" t="s">
        <v>555</v>
      </c>
      <c r="B97" s="335" t="s">
        <v>15</v>
      </c>
      <c r="C97" s="336" t="b">
        <v>0</v>
      </c>
      <c r="D97" s="337" t="s">
        <v>429</v>
      </c>
      <c r="E97" s="338">
        <v>2</v>
      </c>
      <c r="F97" s="339" t="s">
        <v>482</v>
      </c>
      <c r="G97" s="340" t="s">
        <v>483</v>
      </c>
      <c r="H97" s="341" t="s">
        <v>482</v>
      </c>
      <c r="I97" s="342" t="s">
        <v>483</v>
      </c>
      <c r="J97" s="343"/>
      <c r="K97" s="344"/>
      <c r="L97" s="345"/>
      <c r="M97" s="346"/>
      <c r="N97" s="347"/>
      <c r="O97" s="348"/>
      <c r="P97" s="349"/>
      <c r="Q97" s="350"/>
      <c r="R97" s="66" t="s">
        <v>673</v>
      </c>
    </row>
    <row r="98" spans="1:18">
      <c r="A98" s="10" t="s">
        <v>556</v>
      </c>
      <c r="B98" s="335" t="s">
        <v>15</v>
      </c>
      <c r="C98" s="336" t="b">
        <v>0</v>
      </c>
      <c r="D98" s="337" t="s">
        <v>429</v>
      </c>
      <c r="E98" s="338">
        <v>2</v>
      </c>
      <c r="F98" s="339" t="s">
        <v>482</v>
      </c>
      <c r="G98" s="340" t="s">
        <v>483</v>
      </c>
      <c r="H98" s="341" t="s">
        <v>482</v>
      </c>
      <c r="I98" s="342" t="s">
        <v>483</v>
      </c>
      <c r="J98" s="343"/>
      <c r="K98" s="344"/>
      <c r="L98" s="345"/>
      <c r="M98" s="346"/>
      <c r="N98" s="347"/>
      <c r="O98" s="348"/>
      <c r="P98" s="349"/>
      <c r="Q98" s="350"/>
      <c r="R98" s="66" t="s">
        <v>674</v>
      </c>
    </row>
    <row r="99" spans="1:18">
      <c r="A99" s="10" t="s">
        <v>557</v>
      </c>
      <c r="B99" s="335" t="s">
        <v>15</v>
      </c>
      <c r="C99" s="336" t="b">
        <v>0</v>
      </c>
      <c r="D99" s="337" t="s">
        <v>429</v>
      </c>
      <c r="E99" s="338">
        <v>2</v>
      </c>
      <c r="F99" s="339" t="s">
        <v>482</v>
      </c>
      <c r="G99" s="340" t="s">
        <v>483</v>
      </c>
      <c r="H99" s="341" t="s">
        <v>482</v>
      </c>
      <c r="I99" s="342" t="s">
        <v>483</v>
      </c>
      <c r="J99" s="343"/>
      <c r="K99" s="344"/>
      <c r="L99" s="345"/>
      <c r="M99" s="346"/>
      <c r="N99" s="347"/>
      <c r="O99" s="348"/>
      <c r="P99" s="349"/>
      <c r="Q99" s="350"/>
      <c r="R99" s="66" t="s">
        <v>675</v>
      </c>
    </row>
    <row r="100" spans="1:18">
      <c r="A100" s="10" t="s">
        <v>558</v>
      </c>
      <c r="B100" s="335" t="s">
        <v>15</v>
      </c>
      <c r="C100" s="336" t="b">
        <v>0</v>
      </c>
      <c r="D100" s="337" t="s">
        <v>429</v>
      </c>
      <c r="E100" s="338">
        <v>2</v>
      </c>
      <c r="F100" s="339" t="s">
        <v>482</v>
      </c>
      <c r="G100" s="340" t="s">
        <v>483</v>
      </c>
      <c r="H100" s="341" t="s">
        <v>482</v>
      </c>
      <c r="I100" s="342" t="s">
        <v>483</v>
      </c>
      <c r="J100" s="343"/>
      <c r="K100" s="344"/>
      <c r="L100" s="345"/>
      <c r="M100" s="346"/>
      <c r="N100" s="347"/>
      <c r="O100" s="348"/>
      <c r="P100" s="349"/>
      <c r="Q100" s="350"/>
      <c r="R100" s="66" t="s">
        <v>676</v>
      </c>
    </row>
    <row r="104" spans="1:18" ht="15.75" thickBot="1"/>
    <row r="105" spans="1:18">
      <c r="A105" s="71" t="s">
        <v>559</v>
      </c>
      <c r="K105" s="388" t="s">
        <v>1404</v>
      </c>
      <c r="L105" s="389"/>
      <c r="M105" s="388" t="s">
        <v>1405</v>
      </c>
      <c r="N105" s="389"/>
      <c r="O105" s="388" t="s">
        <v>1406</v>
      </c>
      <c r="P105" s="390"/>
      <c r="Q105" s="388" t="s">
        <v>1407</v>
      </c>
      <c r="R105" s="389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742</v>
      </c>
      <c r="I106" s="72" t="s">
        <v>682</v>
      </c>
      <c r="J106" s="72" t="s">
        <v>166</v>
      </c>
      <c r="K106" s="72" t="s">
        <v>743</v>
      </c>
      <c r="L106" s="75" t="s">
        <v>744</v>
      </c>
      <c r="M106" s="72" t="s">
        <v>745</v>
      </c>
      <c r="N106" s="75" t="s">
        <v>746</v>
      </c>
      <c r="O106" s="72" t="s">
        <v>747</v>
      </c>
      <c r="P106" s="75" t="s">
        <v>748</v>
      </c>
      <c r="Q106" s="72" t="s">
        <v>749</v>
      </c>
      <c r="R106" s="75" t="s">
        <v>750</v>
      </c>
    </row>
    <row r="107" spans="1:18">
      <c r="A107" s="391" t="s">
        <v>571</v>
      </c>
      <c r="B107" s="387" t="s">
        <v>452</v>
      </c>
      <c r="C107" s="387">
        <v>4</v>
      </c>
      <c r="D107" s="387" t="s">
        <v>482</v>
      </c>
      <c r="E107" s="387" t="s">
        <v>483</v>
      </c>
      <c r="F107" s="387" t="s">
        <v>482</v>
      </c>
      <c r="G107" s="387" t="s">
        <v>483</v>
      </c>
      <c r="H107" s="387">
        <v>2</v>
      </c>
      <c r="I107" s="103" t="s">
        <v>678</v>
      </c>
      <c r="J107" s="351">
        <v>19600</v>
      </c>
      <c r="K107" s="352" t="s">
        <v>494</v>
      </c>
      <c r="L107" s="353" t="s">
        <v>496</v>
      </c>
      <c r="M107" s="354" t="s">
        <v>494</v>
      </c>
      <c r="N107" s="355" t="s">
        <v>496</v>
      </c>
      <c r="O107" s="356" t="s">
        <v>494</v>
      </c>
      <c r="P107" s="357" t="s">
        <v>496</v>
      </c>
      <c r="Q107" s="358" t="s">
        <v>494</v>
      </c>
      <c r="R107" s="359" t="s">
        <v>496</v>
      </c>
    </row>
    <row r="108" spans="1:18">
      <c r="A108" s="391"/>
      <c r="B108" s="387"/>
      <c r="C108" s="387"/>
      <c r="D108" s="387"/>
      <c r="E108" s="387"/>
      <c r="F108" s="387"/>
      <c r="G108" s="387"/>
      <c r="H108" s="387"/>
      <c r="I108" s="103" t="s">
        <v>679</v>
      </c>
      <c r="J108" s="351">
        <v>19900</v>
      </c>
      <c r="K108" s="352" t="s">
        <v>495</v>
      </c>
      <c r="L108" s="353" t="s">
        <v>497</v>
      </c>
      <c r="M108" s="354" t="s">
        <v>495</v>
      </c>
      <c r="N108" s="355" t="s">
        <v>497</v>
      </c>
      <c r="O108" s="356" t="s">
        <v>495</v>
      </c>
      <c r="P108" s="357" t="s">
        <v>497</v>
      </c>
      <c r="Q108" s="358" t="s">
        <v>495</v>
      </c>
      <c r="R108" s="359" t="s">
        <v>497</v>
      </c>
    </row>
    <row r="109" spans="1:18">
      <c r="A109" s="391"/>
      <c r="B109" s="387"/>
      <c r="C109" s="387"/>
      <c r="D109" s="387"/>
      <c r="E109" s="387"/>
      <c r="F109" s="387"/>
      <c r="G109" s="387"/>
      <c r="H109" s="387"/>
      <c r="I109" s="103" t="s">
        <v>680</v>
      </c>
      <c r="J109" s="351">
        <v>0</v>
      </c>
      <c r="K109" s="352" t="s">
        <v>503</v>
      </c>
      <c r="L109" s="353" t="s">
        <v>498</v>
      </c>
      <c r="M109" s="354" t="s">
        <v>503</v>
      </c>
      <c r="N109" s="355" t="s">
        <v>498</v>
      </c>
      <c r="O109" s="356" t="s">
        <v>503</v>
      </c>
      <c r="P109" s="357" t="s">
        <v>498</v>
      </c>
      <c r="Q109" s="358" t="s">
        <v>503</v>
      </c>
      <c r="R109" s="359" t="s">
        <v>498</v>
      </c>
    </row>
    <row r="110" spans="1:18">
      <c r="A110" s="391"/>
      <c r="B110" s="387"/>
      <c r="C110" s="387"/>
      <c r="D110" s="387"/>
      <c r="E110" s="387"/>
      <c r="F110" s="387"/>
      <c r="G110" s="387"/>
      <c r="H110" s="387"/>
      <c r="I110" s="103" t="s">
        <v>681</v>
      </c>
      <c r="J110" s="351">
        <v>0</v>
      </c>
      <c r="K110" s="352" t="s">
        <v>504</v>
      </c>
      <c r="L110" s="353" t="s">
        <v>499</v>
      </c>
      <c r="M110" s="354" t="s">
        <v>504</v>
      </c>
      <c r="N110" s="355" t="s">
        <v>499</v>
      </c>
      <c r="O110" s="356" t="s">
        <v>504</v>
      </c>
      <c r="P110" s="357" t="s">
        <v>499</v>
      </c>
      <c r="Q110" s="358" t="s">
        <v>504</v>
      </c>
      <c r="R110" s="359" t="s">
        <v>499</v>
      </c>
    </row>
    <row r="111" spans="1:18">
      <c r="A111" s="391" t="s">
        <v>561</v>
      </c>
      <c r="B111" s="387"/>
      <c r="C111" s="387"/>
      <c r="D111" s="387"/>
      <c r="E111" s="387"/>
      <c r="F111" s="387"/>
      <c r="G111" s="387"/>
      <c r="H111" s="387"/>
      <c r="I111" s="103" t="s">
        <v>678</v>
      </c>
      <c r="J111" s="351"/>
      <c r="K111" s="352"/>
      <c r="L111" s="353"/>
      <c r="M111" s="354"/>
      <c r="N111" s="355"/>
      <c r="O111" s="356"/>
      <c r="P111" s="357"/>
      <c r="Q111" s="358"/>
      <c r="R111" s="359"/>
    </row>
    <row r="112" spans="1:18">
      <c r="A112" s="391"/>
      <c r="B112" s="387"/>
      <c r="C112" s="387"/>
      <c r="D112" s="387"/>
      <c r="E112" s="387"/>
      <c r="F112" s="387"/>
      <c r="G112" s="387"/>
      <c r="H112" s="387"/>
      <c r="I112" s="103" t="s">
        <v>679</v>
      </c>
      <c r="J112" s="351"/>
      <c r="K112" s="352"/>
      <c r="L112" s="353"/>
      <c r="M112" s="354"/>
      <c r="N112" s="355"/>
      <c r="O112" s="356"/>
      <c r="P112" s="357"/>
      <c r="Q112" s="358"/>
      <c r="R112" s="359"/>
    </row>
    <row r="113" spans="1:18">
      <c r="A113" s="391"/>
      <c r="B113" s="387"/>
      <c r="C113" s="387"/>
      <c r="D113" s="387"/>
      <c r="E113" s="387"/>
      <c r="F113" s="387"/>
      <c r="G113" s="387"/>
      <c r="H113" s="387"/>
      <c r="I113" s="103" t="s">
        <v>680</v>
      </c>
      <c r="J113" s="351"/>
      <c r="K113" s="352"/>
      <c r="L113" s="353"/>
      <c r="M113" s="354"/>
      <c r="N113" s="355"/>
      <c r="O113" s="356"/>
      <c r="P113" s="357"/>
      <c r="Q113" s="358"/>
      <c r="R113" s="359"/>
    </row>
    <row r="114" spans="1:18">
      <c r="A114" s="391"/>
      <c r="B114" s="387"/>
      <c r="C114" s="387"/>
      <c r="D114" s="387"/>
      <c r="E114" s="387"/>
      <c r="F114" s="387"/>
      <c r="G114" s="387"/>
      <c r="H114" s="387"/>
      <c r="I114" s="103" t="s">
        <v>681</v>
      </c>
      <c r="J114" s="351"/>
      <c r="K114" s="352"/>
      <c r="L114" s="353"/>
      <c r="M114" s="354"/>
      <c r="N114" s="355"/>
      <c r="O114" s="356"/>
      <c r="P114" s="357"/>
      <c r="Q114" s="358"/>
      <c r="R114" s="359"/>
    </row>
    <row r="115" spans="1:18">
      <c r="A115" s="391" t="s">
        <v>562</v>
      </c>
      <c r="B115" s="387"/>
      <c r="C115" s="387"/>
      <c r="D115" s="387"/>
      <c r="E115" s="387"/>
      <c r="F115" s="387"/>
      <c r="G115" s="387"/>
      <c r="H115" s="387"/>
      <c r="I115" s="103" t="s">
        <v>678</v>
      </c>
      <c r="J115" s="351"/>
      <c r="K115" s="352"/>
      <c r="L115" s="353"/>
      <c r="M115" s="354"/>
      <c r="N115" s="355"/>
      <c r="O115" s="356"/>
      <c r="P115" s="357"/>
      <c r="Q115" s="358"/>
      <c r="R115" s="359"/>
    </row>
    <row r="116" spans="1:18">
      <c r="A116" s="391"/>
      <c r="B116" s="387"/>
      <c r="C116" s="387"/>
      <c r="D116" s="387"/>
      <c r="E116" s="387"/>
      <c r="F116" s="387"/>
      <c r="G116" s="387"/>
      <c r="H116" s="387"/>
      <c r="I116" s="103" t="s">
        <v>679</v>
      </c>
      <c r="J116" s="351"/>
      <c r="K116" s="352"/>
      <c r="L116" s="353"/>
      <c r="M116" s="354"/>
      <c r="N116" s="355"/>
      <c r="O116" s="356"/>
      <c r="P116" s="357"/>
      <c r="Q116" s="358"/>
      <c r="R116" s="359"/>
    </row>
    <row r="117" spans="1:18">
      <c r="A117" s="391"/>
      <c r="B117" s="387"/>
      <c r="C117" s="387"/>
      <c r="D117" s="387"/>
      <c r="E117" s="387"/>
      <c r="F117" s="387"/>
      <c r="G117" s="387"/>
      <c r="H117" s="387"/>
      <c r="I117" s="103" t="s">
        <v>680</v>
      </c>
      <c r="J117" s="351"/>
      <c r="K117" s="352"/>
      <c r="L117" s="353"/>
      <c r="M117" s="354"/>
      <c r="N117" s="355"/>
      <c r="O117" s="356"/>
      <c r="P117" s="357"/>
      <c r="Q117" s="358"/>
      <c r="R117" s="359"/>
    </row>
    <row r="118" spans="1:18">
      <c r="A118" s="391"/>
      <c r="B118" s="387"/>
      <c r="C118" s="387"/>
      <c r="D118" s="387"/>
      <c r="E118" s="387"/>
      <c r="F118" s="387"/>
      <c r="G118" s="387"/>
      <c r="H118" s="387"/>
      <c r="I118" s="103" t="s">
        <v>681</v>
      </c>
      <c r="J118" s="351"/>
      <c r="K118" s="352"/>
      <c r="L118" s="353"/>
      <c r="M118" s="354"/>
      <c r="N118" s="355"/>
      <c r="O118" s="356"/>
      <c r="P118" s="357"/>
      <c r="Q118" s="358"/>
      <c r="R118" s="359"/>
    </row>
    <row r="119" spans="1:18">
      <c r="A119" s="391" t="s">
        <v>563</v>
      </c>
      <c r="B119" s="387"/>
      <c r="C119" s="387"/>
      <c r="D119" s="387"/>
      <c r="E119" s="387"/>
      <c r="F119" s="387"/>
      <c r="G119" s="387"/>
      <c r="H119" s="387"/>
      <c r="I119" s="103" t="s">
        <v>678</v>
      </c>
      <c r="J119" s="351"/>
      <c r="K119" s="352"/>
      <c r="L119" s="353"/>
      <c r="M119" s="354"/>
      <c r="N119" s="355"/>
      <c r="O119" s="356"/>
      <c r="P119" s="357"/>
      <c r="Q119" s="358"/>
      <c r="R119" s="359"/>
    </row>
    <row r="120" spans="1:18">
      <c r="A120" s="391"/>
      <c r="B120" s="387"/>
      <c r="C120" s="387"/>
      <c r="D120" s="387"/>
      <c r="E120" s="387"/>
      <c r="F120" s="387"/>
      <c r="G120" s="387"/>
      <c r="H120" s="387"/>
      <c r="I120" s="103" t="s">
        <v>679</v>
      </c>
      <c r="J120" s="351"/>
      <c r="K120" s="352"/>
      <c r="L120" s="353"/>
      <c r="M120" s="354"/>
      <c r="N120" s="355"/>
      <c r="O120" s="356"/>
      <c r="P120" s="357"/>
      <c r="Q120" s="358"/>
      <c r="R120" s="359"/>
    </row>
    <row r="121" spans="1:18">
      <c r="A121" s="391"/>
      <c r="B121" s="387"/>
      <c r="C121" s="387"/>
      <c r="D121" s="387"/>
      <c r="E121" s="387"/>
      <c r="F121" s="387"/>
      <c r="G121" s="387"/>
      <c r="H121" s="387"/>
      <c r="I121" s="103" t="s">
        <v>680</v>
      </c>
      <c r="J121" s="351"/>
      <c r="K121" s="352"/>
      <c r="L121" s="353"/>
      <c r="M121" s="354"/>
      <c r="N121" s="355"/>
      <c r="O121" s="356"/>
      <c r="P121" s="357"/>
      <c r="Q121" s="358"/>
      <c r="R121" s="359"/>
    </row>
    <row r="122" spans="1:18">
      <c r="A122" s="391"/>
      <c r="B122" s="387"/>
      <c r="C122" s="387"/>
      <c r="D122" s="387"/>
      <c r="E122" s="387"/>
      <c r="F122" s="387"/>
      <c r="G122" s="387"/>
      <c r="H122" s="387"/>
      <c r="I122" s="103" t="s">
        <v>681</v>
      </c>
      <c r="J122" s="351"/>
      <c r="K122" s="352"/>
      <c r="L122" s="353"/>
      <c r="M122" s="354"/>
      <c r="N122" s="355"/>
      <c r="O122" s="356"/>
      <c r="P122" s="357"/>
      <c r="Q122" s="358"/>
      <c r="R122" s="359"/>
    </row>
    <row r="123" spans="1:18">
      <c r="A123" s="391" t="s">
        <v>564</v>
      </c>
      <c r="B123" s="387"/>
      <c r="C123" s="387"/>
      <c r="D123" s="387"/>
      <c r="E123" s="387"/>
      <c r="F123" s="387"/>
      <c r="G123" s="387"/>
      <c r="H123" s="387"/>
      <c r="I123" s="103" t="s">
        <v>678</v>
      </c>
      <c r="J123" s="351"/>
      <c r="K123" s="352"/>
      <c r="L123" s="353"/>
      <c r="M123" s="354"/>
      <c r="N123" s="355"/>
      <c r="O123" s="356"/>
      <c r="P123" s="357"/>
      <c r="Q123" s="358"/>
      <c r="R123" s="359"/>
    </row>
    <row r="124" spans="1:18">
      <c r="A124" s="391"/>
      <c r="B124" s="387"/>
      <c r="C124" s="387"/>
      <c r="D124" s="387"/>
      <c r="E124" s="387"/>
      <c r="F124" s="387"/>
      <c r="G124" s="387"/>
      <c r="H124" s="387"/>
      <c r="I124" s="103" t="s">
        <v>679</v>
      </c>
      <c r="J124" s="351"/>
      <c r="K124" s="352"/>
      <c r="L124" s="353"/>
      <c r="M124" s="354"/>
      <c r="N124" s="355"/>
      <c r="O124" s="356"/>
      <c r="P124" s="357"/>
      <c r="Q124" s="358"/>
      <c r="R124" s="359"/>
    </row>
    <row r="125" spans="1:18">
      <c r="A125" s="391"/>
      <c r="B125" s="387"/>
      <c r="C125" s="387"/>
      <c r="D125" s="387"/>
      <c r="E125" s="387"/>
      <c r="F125" s="387"/>
      <c r="G125" s="387"/>
      <c r="H125" s="387"/>
      <c r="I125" s="103" t="s">
        <v>680</v>
      </c>
      <c r="J125" s="351"/>
      <c r="K125" s="352"/>
      <c r="L125" s="353"/>
      <c r="M125" s="354"/>
      <c r="N125" s="355"/>
      <c r="O125" s="356"/>
      <c r="P125" s="357"/>
      <c r="Q125" s="358"/>
      <c r="R125" s="359"/>
    </row>
    <row r="126" spans="1:18">
      <c r="A126" s="391"/>
      <c r="B126" s="387"/>
      <c r="C126" s="387"/>
      <c r="D126" s="387"/>
      <c r="E126" s="387"/>
      <c r="F126" s="387"/>
      <c r="G126" s="387"/>
      <c r="H126" s="387"/>
      <c r="I126" s="103" t="s">
        <v>681</v>
      </c>
      <c r="J126" s="351"/>
      <c r="K126" s="352"/>
      <c r="L126" s="353"/>
      <c r="M126" s="354"/>
      <c r="N126" s="355"/>
      <c r="O126" s="356"/>
      <c r="P126" s="357"/>
      <c r="Q126" s="358"/>
      <c r="R126" s="359"/>
    </row>
    <row r="127" spans="1:18">
      <c r="A127" s="391" t="s">
        <v>565</v>
      </c>
      <c r="B127" s="387"/>
      <c r="C127" s="387"/>
      <c r="D127" s="387"/>
      <c r="E127" s="387"/>
      <c r="F127" s="387"/>
      <c r="G127" s="387"/>
      <c r="H127" s="387"/>
      <c r="I127" s="103" t="s">
        <v>678</v>
      </c>
      <c r="J127" s="351"/>
      <c r="K127" s="352"/>
      <c r="L127" s="353"/>
      <c r="M127" s="354"/>
      <c r="N127" s="355"/>
      <c r="O127" s="356"/>
      <c r="P127" s="357"/>
      <c r="Q127" s="358"/>
      <c r="R127" s="359"/>
    </row>
    <row r="128" spans="1:18">
      <c r="A128" s="391"/>
      <c r="B128" s="387"/>
      <c r="C128" s="387"/>
      <c r="D128" s="387"/>
      <c r="E128" s="387"/>
      <c r="F128" s="387"/>
      <c r="G128" s="387"/>
      <c r="H128" s="387"/>
      <c r="I128" s="103" t="s">
        <v>679</v>
      </c>
      <c r="J128" s="351"/>
      <c r="K128" s="352"/>
      <c r="L128" s="353"/>
      <c r="M128" s="354"/>
      <c r="N128" s="355"/>
      <c r="O128" s="356"/>
      <c r="P128" s="357"/>
      <c r="Q128" s="358"/>
      <c r="R128" s="359"/>
    </row>
    <row r="129" spans="1:18">
      <c r="A129" s="391"/>
      <c r="B129" s="387"/>
      <c r="C129" s="387"/>
      <c r="D129" s="387"/>
      <c r="E129" s="387"/>
      <c r="F129" s="387"/>
      <c r="G129" s="387"/>
      <c r="H129" s="387"/>
      <c r="I129" s="103" t="s">
        <v>680</v>
      </c>
      <c r="J129" s="351"/>
      <c r="K129" s="352"/>
      <c r="L129" s="353"/>
      <c r="M129" s="354"/>
      <c r="N129" s="355"/>
      <c r="O129" s="356"/>
      <c r="P129" s="357"/>
      <c r="Q129" s="358"/>
      <c r="R129" s="359"/>
    </row>
    <row r="130" spans="1:18">
      <c r="A130" s="391"/>
      <c r="B130" s="387"/>
      <c r="C130" s="387"/>
      <c r="D130" s="387"/>
      <c r="E130" s="387"/>
      <c r="F130" s="387"/>
      <c r="G130" s="387"/>
      <c r="H130" s="387"/>
      <c r="I130" s="103" t="s">
        <v>681</v>
      </c>
      <c r="J130" s="351"/>
      <c r="K130" s="352"/>
      <c r="L130" s="353"/>
      <c r="M130" s="354"/>
      <c r="N130" s="355"/>
      <c r="O130" s="356"/>
      <c r="P130" s="357"/>
      <c r="Q130" s="358"/>
      <c r="R130" s="359"/>
    </row>
    <row r="131" spans="1:18">
      <c r="A131" s="391" t="s">
        <v>566</v>
      </c>
      <c r="B131" s="387"/>
      <c r="C131" s="387"/>
      <c r="D131" s="387"/>
      <c r="E131" s="387"/>
      <c r="F131" s="387"/>
      <c r="G131" s="387"/>
      <c r="H131" s="387"/>
      <c r="I131" s="103" t="s">
        <v>678</v>
      </c>
      <c r="J131" s="351"/>
      <c r="K131" s="352"/>
      <c r="L131" s="353"/>
      <c r="M131" s="354"/>
      <c r="N131" s="355"/>
      <c r="O131" s="356"/>
      <c r="P131" s="357"/>
      <c r="Q131" s="358"/>
      <c r="R131" s="359"/>
    </row>
    <row r="132" spans="1:18">
      <c r="A132" s="391"/>
      <c r="B132" s="387"/>
      <c r="C132" s="387"/>
      <c r="D132" s="387"/>
      <c r="E132" s="387"/>
      <c r="F132" s="387"/>
      <c r="G132" s="387"/>
      <c r="H132" s="387"/>
      <c r="I132" s="103" t="s">
        <v>679</v>
      </c>
      <c r="J132" s="351"/>
      <c r="K132" s="352"/>
      <c r="L132" s="353"/>
      <c r="M132" s="354"/>
      <c r="N132" s="355"/>
      <c r="O132" s="356"/>
      <c r="P132" s="357"/>
      <c r="Q132" s="358"/>
      <c r="R132" s="359"/>
    </row>
    <row r="133" spans="1:18">
      <c r="A133" s="391"/>
      <c r="B133" s="387"/>
      <c r="C133" s="387"/>
      <c r="D133" s="387"/>
      <c r="E133" s="387"/>
      <c r="F133" s="387"/>
      <c r="G133" s="387"/>
      <c r="H133" s="387"/>
      <c r="I133" s="103" t="s">
        <v>680</v>
      </c>
      <c r="J133" s="351"/>
      <c r="K133" s="352"/>
      <c r="L133" s="353"/>
      <c r="M133" s="354"/>
      <c r="N133" s="355"/>
      <c r="O133" s="356"/>
      <c r="P133" s="357"/>
      <c r="Q133" s="358"/>
      <c r="R133" s="359"/>
    </row>
    <row r="134" spans="1:18">
      <c r="A134" s="391"/>
      <c r="B134" s="387"/>
      <c r="C134" s="387"/>
      <c r="D134" s="387"/>
      <c r="E134" s="387"/>
      <c r="F134" s="387"/>
      <c r="G134" s="387"/>
      <c r="H134" s="387"/>
      <c r="I134" s="103" t="s">
        <v>681</v>
      </c>
      <c r="J134" s="351"/>
      <c r="K134" s="352"/>
      <c r="L134" s="353"/>
      <c r="M134" s="354"/>
      <c r="N134" s="355"/>
      <c r="O134" s="356"/>
      <c r="P134" s="357"/>
      <c r="Q134" s="358"/>
      <c r="R134" s="359"/>
    </row>
    <row r="135" spans="1:18">
      <c r="A135" s="391" t="s">
        <v>567</v>
      </c>
      <c r="B135" s="387"/>
      <c r="C135" s="387"/>
      <c r="D135" s="387"/>
      <c r="E135" s="387"/>
      <c r="F135" s="387"/>
      <c r="G135" s="387"/>
      <c r="H135" s="387"/>
      <c r="I135" s="103" t="s">
        <v>678</v>
      </c>
      <c r="J135" s="351"/>
      <c r="K135" s="352"/>
      <c r="L135" s="353"/>
      <c r="M135" s="354"/>
      <c r="N135" s="355"/>
      <c r="O135" s="356"/>
      <c r="P135" s="357"/>
      <c r="Q135" s="358"/>
      <c r="R135" s="359"/>
    </row>
    <row r="136" spans="1:18">
      <c r="A136" s="391"/>
      <c r="B136" s="387"/>
      <c r="C136" s="387"/>
      <c r="D136" s="387"/>
      <c r="E136" s="387"/>
      <c r="F136" s="387"/>
      <c r="G136" s="387"/>
      <c r="H136" s="387"/>
      <c r="I136" s="103" t="s">
        <v>679</v>
      </c>
      <c r="J136" s="351"/>
      <c r="K136" s="352"/>
      <c r="L136" s="353"/>
      <c r="M136" s="354"/>
      <c r="N136" s="355"/>
      <c r="O136" s="356"/>
      <c r="P136" s="357"/>
      <c r="Q136" s="358"/>
      <c r="R136" s="359"/>
    </row>
    <row r="137" spans="1:18">
      <c r="A137" s="391"/>
      <c r="B137" s="387"/>
      <c r="C137" s="387"/>
      <c r="D137" s="387"/>
      <c r="E137" s="387"/>
      <c r="F137" s="387"/>
      <c r="G137" s="387"/>
      <c r="H137" s="387"/>
      <c r="I137" s="103" t="s">
        <v>680</v>
      </c>
      <c r="J137" s="351"/>
      <c r="K137" s="352"/>
      <c r="L137" s="353"/>
      <c r="M137" s="354"/>
      <c r="N137" s="355"/>
      <c r="O137" s="356"/>
      <c r="P137" s="357"/>
      <c r="Q137" s="358"/>
      <c r="R137" s="359"/>
    </row>
    <row r="138" spans="1:18">
      <c r="A138" s="391"/>
      <c r="B138" s="387"/>
      <c r="C138" s="387"/>
      <c r="D138" s="387"/>
      <c r="E138" s="387"/>
      <c r="F138" s="387"/>
      <c r="G138" s="387"/>
      <c r="H138" s="387"/>
      <c r="I138" s="103" t="s">
        <v>681</v>
      </c>
      <c r="J138" s="351"/>
      <c r="K138" s="352"/>
      <c r="L138" s="353"/>
      <c r="M138" s="354"/>
      <c r="N138" s="355"/>
      <c r="O138" s="356"/>
      <c r="P138" s="357"/>
      <c r="Q138" s="358"/>
      <c r="R138" s="359"/>
    </row>
    <row r="139" spans="1:18">
      <c r="A139" s="391" t="s">
        <v>568</v>
      </c>
      <c r="B139" s="387"/>
      <c r="C139" s="387"/>
      <c r="D139" s="387"/>
      <c r="E139" s="387"/>
      <c r="F139" s="387"/>
      <c r="G139" s="387"/>
      <c r="H139" s="387"/>
      <c r="I139" s="103" t="s">
        <v>678</v>
      </c>
      <c r="J139" s="351"/>
      <c r="K139" s="352"/>
      <c r="L139" s="353"/>
      <c r="M139" s="354"/>
      <c r="N139" s="355"/>
      <c r="O139" s="356"/>
      <c r="P139" s="357"/>
      <c r="Q139" s="358"/>
      <c r="R139" s="359"/>
    </row>
    <row r="140" spans="1:18">
      <c r="A140" s="391"/>
      <c r="B140" s="387"/>
      <c r="C140" s="387"/>
      <c r="D140" s="387"/>
      <c r="E140" s="387"/>
      <c r="F140" s="387"/>
      <c r="G140" s="387"/>
      <c r="H140" s="387"/>
      <c r="I140" s="103" t="s">
        <v>679</v>
      </c>
      <c r="J140" s="351"/>
      <c r="K140" s="352"/>
      <c r="L140" s="353"/>
      <c r="M140" s="354"/>
      <c r="N140" s="355"/>
      <c r="O140" s="356"/>
      <c r="P140" s="357"/>
      <c r="Q140" s="358"/>
      <c r="R140" s="359"/>
    </row>
    <row r="141" spans="1:18">
      <c r="A141" s="391"/>
      <c r="B141" s="387"/>
      <c r="C141" s="387"/>
      <c r="D141" s="387"/>
      <c r="E141" s="387"/>
      <c r="F141" s="387"/>
      <c r="G141" s="387"/>
      <c r="H141" s="387"/>
      <c r="I141" s="103" t="s">
        <v>680</v>
      </c>
      <c r="J141" s="351"/>
      <c r="K141" s="352"/>
      <c r="L141" s="353"/>
      <c r="M141" s="354"/>
      <c r="N141" s="355"/>
      <c r="O141" s="356"/>
      <c r="P141" s="357"/>
      <c r="Q141" s="358"/>
      <c r="R141" s="359"/>
    </row>
    <row r="142" spans="1:18">
      <c r="A142" s="391"/>
      <c r="B142" s="387"/>
      <c r="C142" s="387"/>
      <c r="D142" s="387"/>
      <c r="E142" s="387"/>
      <c r="F142" s="387"/>
      <c r="G142" s="387"/>
      <c r="H142" s="387"/>
      <c r="I142" s="103" t="s">
        <v>681</v>
      </c>
      <c r="J142" s="351"/>
      <c r="K142" s="352"/>
      <c r="L142" s="353"/>
      <c r="M142" s="354"/>
      <c r="N142" s="355"/>
      <c r="O142" s="356"/>
      <c r="P142" s="357"/>
      <c r="Q142" s="358"/>
      <c r="R142" s="359"/>
    </row>
    <row r="143" spans="1:18">
      <c r="A143" s="391" t="s">
        <v>569</v>
      </c>
      <c r="B143" s="387"/>
      <c r="C143" s="387"/>
      <c r="D143" s="387"/>
      <c r="E143" s="387"/>
      <c r="F143" s="387"/>
      <c r="G143" s="387"/>
      <c r="H143" s="387"/>
      <c r="I143" s="103" t="s">
        <v>678</v>
      </c>
      <c r="J143" s="351"/>
      <c r="K143" s="352"/>
      <c r="L143" s="353"/>
      <c r="M143" s="354"/>
      <c r="N143" s="355"/>
      <c r="O143" s="356"/>
      <c r="P143" s="357"/>
      <c r="Q143" s="358"/>
      <c r="R143" s="359"/>
    </row>
    <row r="144" spans="1:18">
      <c r="A144" s="391"/>
      <c r="B144" s="387"/>
      <c r="C144" s="387"/>
      <c r="D144" s="387"/>
      <c r="E144" s="387"/>
      <c r="F144" s="387"/>
      <c r="G144" s="387"/>
      <c r="H144" s="387"/>
      <c r="I144" s="103" t="s">
        <v>679</v>
      </c>
      <c r="J144" s="351"/>
      <c r="K144" s="352"/>
      <c r="L144" s="353"/>
      <c r="M144" s="354"/>
      <c r="N144" s="355"/>
      <c r="O144" s="356"/>
      <c r="P144" s="357"/>
      <c r="Q144" s="358"/>
      <c r="R144" s="359"/>
    </row>
    <row r="145" spans="1:18">
      <c r="A145" s="391"/>
      <c r="B145" s="387"/>
      <c r="C145" s="387"/>
      <c r="D145" s="387"/>
      <c r="E145" s="387"/>
      <c r="F145" s="387"/>
      <c r="G145" s="387"/>
      <c r="H145" s="387"/>
      <c r="I145" s="103" t="s">
        <v>680</v>
      </c>
      <c r="J145" s="351"/>
      <c r="K145" s="352"/>
      <c r="L145" s="353"/>
      <c r="M145" s="354"/>
      <c r="N145" s="355"/>
      <c r="O145" s="356"/>
      <c r="P145" s="357"/>
      <c r="Q145" s="358"/>
      <c r="R145" s="359"/>
    </row>
    <row r="146" spans="1:18">
      <c r="A146" s="391"/>
      <c r="B146" s="387"/>
      <c r="C146" s="387"/>
      <c r="D146" s="387"/>
      <c r="E146" s="387"/>
      <c r="F146" s="387"/>
      <c r="G146" s="387"/>
      <c r="H146" s="387"/>
      <c r="I146" s="103" t="s">
        <v>681</v>
      </c>
      <c r="J146" s="351"/>
      <c r="K146" s="352"/>
      <c r="L146" s="353"/>
      <c r="M146" s="354"/>
      <c r="N146" s="355"/>
      <c r="O146" s="356"/>
      <c r="P146" s="357"/>
      <c r="Q146" s="358"/>
      <c r="R146" s="359"/>
    </row>
    <row r="147" spans="1:18">
      <c r="A147" s="1" t="s">
        <v>572</v>
      </c>
    </row>
  </sheetData>
  <sheetProtection algorithmName="SHA-512" hashValue="iEiEMitpSuQSXLrwncnLe0Q5b011fiujZHVrw8ah7aKcO+L25qji5DBIgdDAtoTVAPipfqEeVF9fkvBwIwbY2g==" saltValue="A7oL5WBEUM7047zx+W7wK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1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ColWidth="9.140625"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397" t="s">
        <v>256</v>
      </c>
      <c r="B17" s="398"/>
      <c r="C17" s="394" t="s">
        <v>204</v>
      </c>
      <c r="D17" s="395"/>
      <c r="E17" s="395"/>
      <c r="F17" s="395"/>
      <c r="G17" s="395"/>
      <c r="H17" s="395"/>
      <c r="I17" s="394" t="s">
        <v>205</v>
      </c>
      <c r="J17" s="395"/>
      <c r="K17" s="395"/>
      <c r="L17" s="395"/>
      <c r="M17" s="396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447</v>
      </c>
      <c r="S17" s="77" t="s">
        <v>736</v>
      </c>
      <c r="T17" s="77" t="s">
        <v>1109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959</v>
      </c>
      <c r="S18" s="78" t="s">
        <v>960</v>
      </c>
      <c r="T18" s="78" t="s">
        <v>1268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2" t="s">
        <v>257</v>
      </c>
      <c r="B23" s="392"/>
      <c r="C23" s="393" t="s">
        <v>204</v>
      </c>
      <c r="D23" s="393"/>
      <c r="E23" s="393"/>
      <c r="F23" s="393"/>
      <c r="G23" s="393"/>
      <c r="H23" s="393"/>
      <c r="I23" s="393" t="s">
        <v>205</v>
      </c>
      <c r="J23" s="393"/>
      <c r="K23" s="393"/>
      <c r="L23" s="393"/>
      <c r="M23" s="39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736</v>
      </c>
      <c r="T23" s="77" t="s">
        <v>1109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961</v>
      </c>
      <c r="S24" s="78" t="s">
        <v>962</v>
      </c>
      <c r="T24" s="78" t="s">
        <v>1268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2" t="s">
        <v>208</v>
      </c>
      <c r="B28" s="392"/>
      <c r="C28" s="393" t="s">
        <v>204</v>
      </c>
      <c r="D28" s="393"/>
      <c r="E28" s="393"/>
      <c r="F28" s="393"/>
      <c r="G28" s="393"/>
      <c r="H28" s="393"/>
      <c r="I28" s="393" t="s">
        <v>205</v>
      </c>
      <c r="J28" s="393"/>
      <c r="K28" s="393"/>
      <c r="L28" s="393"/>
      <c r="M28" s="393"/>
      <c r="N28" s="28" t="s">
        <v>206</v>
      </c>
      <c r="O28" s="28" t="s">
        <v>207</v>
      </c>
      <c r="P28" s="29" t="s">
        <v>206</v>
      </c>
      <c r="Q28" s="76" t="s">
        <v>963</v>
      </c>
      <c r="R28" s="77" t="s">
        <v>447</v>
      </c>
      <c r="S28" s="77" t="s">
        <v>736</v>
      </c>
      <c r="T28" s="77" t="s">
        <v>1109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842</v>
      </c>
      <c r="E29" s="23" t="s">
        <v>167</v>
      </c>
      <c r="F29" s="23" t="s">
        <v>843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961</v>
      </c>
      <c r="S29" s="78" t="s">
        <v>962</v>
      </c>
      <c r="T29" s="78" t="s">
        <v>1268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2" t="s">
        <v>209</v>
      </c>
      <c r="B35" s="392"/>
      <c r="C35" s="393" t="s">
        <v>204</v>
      </c>
      <c r="D35" s="393"/>
      <c r="E35" s="393"/>
      <c r="F35" s="393"/>
      <c r="G35" s="393"/>
      <c r="H35" s="393"/>
      <c r="I35" s="393" t="s">
        <v>205</v>
      </c>
      <c r="J35" s="393"/>
      <c r="K35" s="393"/>
      <c r="L35" s="393"/>
      <c r="M35" s="39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u0j2iZeKxnBwoC2jSrdQ3nDSK45vZNO0mVAhHvOLbSIEjqxlMftDRy7GzcF6c/f8wwoQUvjorpK9FGALCQeBfw==" saltValue="/Ga9jQ5s147AbKF/M5j/SQ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1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17" sqref="B17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1016</v>
      </c>
    </row>
    <row r="3" spans="1:2">
      <c r="A3" s="360" t="s">
        <v>831</v>
      </c>
    </row>
    <row r="4" spans="1:2" ht="15.75" thickBot="1"/>
    <row r="5" spans="1:2" ht="15.75" thickBot="1">
      <c r="A5" s="6" t="s">
        <v>1017</v>
      </c>
    </row>
    <row r="6" spans="1:2">
      <c r="A6" s="7" t="s">
        <v>1018</v>
      </c>
      <c r="B6" s="2" t="s">
        <v>289</v>
      </c>
    </row>
    <row r="7" spans="1:2">
      <c r="A7" s="8" t="s">
        <v>1019</v>
      </c>
      <c r="B7" s="362" t="s">
        <v>96</v>
      </c>
    </row>
    <row r="8" spans="1:2">
      <c r="A8" s="8" t="s">
        <v>1020</v>
      </c>
      <c r="B8" s="362" t="s">
        <v>23</v>
      </c>
    </row>
    <row r="9" spans="1:2">
      <c r="A9" s="8" t="s">
        <v>1021</v>
      </c>
      <c r="B9" s="362" t="s">
        <v>15</v>
      </c>
    </row>
    <row r="10" spans="1:2">
      <c r="A10" s="8" t="s">
        <v>1022</v>
      </c>
      <c r="B10" s="362" t="s">
        <v>15</v>
      </c>
    </row>
    <row r="11" spans="1:2">
      <c r="A11" s="8" t="s">
        <v>1023</v>
      </c>
      <c r="B11" s="361" t="s">
        <v>15</v>
      </c>
    </row>
  </sheetData>
  <sheetProtection algorithmName="SHA-512" hashValue="wtQg1oxtGtXD0cuAv74wb0HvTTAK7L6wnP0FFj8W7qye/fd/KDdeipjymam1yOfL8Vvh3WVQLukiWFE8iu39IQ==" saltValue="qFMaoGaMQIdoov2CWi4H0A==" spinCount="100000" sheet="1" objects="1" scenarios="1"/>
  <phoneticPr fontId="11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E5" sqref="E5"/>
    </sheetView>
  </sheetViews>
  <sheetFormatPr defaultColWidth="9.140625"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987</v>
      </c>
    </row>
    <row r="3" spans="1:6">
      <c r="A3" s="119" t="s">
        <v>988</v>
      </c>
    </row>
    <row r="4" spans="1:6">
      <c r="A4" s="145">
        <v>1</v>
      </c>
    </row>
    <row r="5" spans="1:6" ht="15.75" thickBot="1"/>
    <row r="6" spans="1:6" ht="15.75" thickBot="1">
      <c r="A6" s="15" t="s">
        <v>989</v>
      </c>
    </row>
    <row r="7" spans="1:6" ht="15.75" thickBot="1">
      <c r="A7" s="15" t="s">
        <v>990</v>
      </c>
      <c r="B7" s="15" t="s">
        <v>991</v>
      </c>
      <c r="C7" s="15" t="s">
        <v>992</v>
      </c>
    </row>
    <row r="8" spans="1:6">
      <c r="A8" s="146" t="s">
        <v>1443</v>
      </c>
      <c r="B8" s="147" t="s">
        <v>1444</v>
      </c>
      <c r="C8" s="148" t="s">
        <v>1445</v>
      </c>
    </row>
    <row r="9" spans="1:6" ht="15.75" thickBot="1"/>
    <row r="10" spans="1:6" ht="15.75" thickBot="1">
      <c r="A10" s="15" t="s">
        <v>993</v>
      </c>
    </row>
    <row r="11" spans="1:6" ht="15.75" thickBot="1">
      <c r="A11" s="15" t="s">
        <v>1455</v>
      </c>
      <c r="B11" s="15" t="s">
        <v>1456</v>
      </c>
      <c r="C11" s="15" t="s">
        <v>994</v>
      </c>
      <c r="D11" s="15" t="s">
        <v>995</v>
      </c>
      <c r="E11" s="15" t="s">
        <v>996</v>
      </c>
      <c r="F11" s="15" t="s">
        <v>997</v>
      </c>
    </row>
    <row r="12" spans="1:6">
      <c r="A12" s="362" t="s">
        <v>1446</v>
      </c>
      <c r="B12" s="362" t="s">
        <v>1457</v>
      </c>
      <c r="C12" s="149" t="s">
        <v>998</v>
      </c>
      <c r="D12" s="150" t="s">
        <v>998</v>
      </c>
      <c r="E12" s="151" t="s">
        <v>998</v>
      </c>
      <c r="F12" s="152" t="s">
        <v>998</v>
      </c>
    </row>
    <row r="13" spans="1:6" ht="15.75" thickBot="1"/>
    <row r="14" spans="1:6" ht="15.75" thickBot="1">
      <c r="A14" s="15" t="s">
        <v>999</v>
      </c>
    </row>
    <row r="15" spans="1:6" ht="15.75" thickBot="1">
      <c r="A15" s="15" t="s">
        <v>1000</v>
      </c>
      <c r="B15" s="15" t="s">
        <v>1001</v>
      </c>
      <c r="C15" s="15" t="s">
        <v>1002</v>
      </c>
      <c r="D15" s="15" t="s">
        <v>1003</v>
      </c>
    </row>
    <row r="16" spans="1:6">
      <c r="A16" s="153" t="s">
        <v>998</v>
      </c>
      <c r="B16" s="154" t="s">
        <v>998</v>
      </c>
      <c r="C16" s="155" t="s">
        <v>998</v>
      </c>
      <c r="D16" s="156" t="s">
        <v>998</v>
      </c>
    </row>
    <row r="18" spans="1:11" ht="15.75" thickBot="1"/>
    <row r="19" spans="1:11" ht="15.75" thickBot="1">
      <c r="A19" s="15" t="s">
        <v>1004</v>
      </c>
    </row>
    <row r="20" spans="1:11" ht="15.75" thickBot="1">
      <c r="A20" s="120" t="s">
        <v>1005</v>
      </c>
      <c r="B20" s="120" t="s">
        <v>1006</v>
      </c>
      <c r="C20" s="121" t="s">
        <v>1007</v>
      </c>
      <c r="D20" s="121" t="s">
        <v>1008</v>
      </c>
      <c r="E20" s="121" t="s">
        <v>1009</v>
      </c>
      <c r="F20" s="120" t="s">
        <v>1010</v>
      </c>
      <c r="G20" s="121" t="s">
        <v>1011</v>
      </c>
      <c r="H20" s="121" t="s">
        <v>1012</v>
      </c>
      <c r="I20" s="121" t="s">
        <v>1013</v>
      </c>
      <c r="J20" s="122" t="s">
        <v>289</v>
      </c>
      <c r="K20" s="123"/>
    </row>
    <row r="21" spans="1:11">
      <c r="A21" s="399" t="s">
        <v>53</v>
      </c>
      <c r="B21" s="406" t="s">
        <v>975</v>
      </c>
      <c r="C21" s="157">
        <v>0</v>
      </c>
      <c r="D21" s="160">
        <v>0</v>
      </c>
      <c r="E21" s="163">
        <v>0</v>
      </c>
      <c r="F21" s="406" t="s">
        <v>975</v>
      </c>
      <c r="G21" s="166">
        <v>0</v>
      </c>
      <c r="H21" s="169">
        <v>0</v>
      </c>
      <c r="I21" s="172">
        <v>0</v>
      </c>
      <c r="J21" s="403" t="str">
        <f>'LTE TRX route'!B10</f>
        <v>LTE_Band1</v>
      </c>
    </row>
    <row r="22" spans="1:11">
      <c r="A22" s="405"/>
      <c r="B22" s="383"/>
      <c r="C22" s="157">
        <v>0</v>
      </c>
      <c r="D22" s="160">
        <v>0</v>
      </c>
      <c r="E22" s="163">
        <v>0</v>
      </c>
      <c r="F22" s="383"/>
      <c r="G22" s="166">
        <v>0</v>
      </c>
      <c r="H22" s="169">
        <v>0</v>
      </c>
      <c r="I22" s="172">
        <v>0</v>
      </c>
      <c r="J22" s="403"/>
    </row>
    <row r="23" spans="1:11">
      <c r="A23" s="405"/>
      <c r="B23" s="383"/>
      <c r="C23" s="157">
        <v>0</v>
      </c>
      <c r="D23" s="160">
        <v>0</v>
      </c>
      <c r="E23" s="163">
        <v>0</v>
      </c>
      <c r="F23" s="383"/>
      <c r="G23" s="166">
        <v>0</v>
      </c>
      <c r="H23" s="169">
        <v>0</v>
      </c>
      <c r="I23" s="172">
        <v>0</v>
      </c>
      <c r="J23" s="403"/>
    </row>
    <row r="24" spans="1:11">
      <c r="A24" s="405"/>
      <c r="B24" s="383"/>
      <c r="C24" s="157">
        <v>0</v>
      </c>
      <c r="D24" s="160">
        <v>0</v>
      </c>
      <c r="E24" s="163">
        <v>0</v>
      </c>
      <c r="F24" s="383"/>
      <c r="G24" s="166">
        <v>0</v>
      </c>
      <c r="H24" s="169">
        <v>0</v>
      </c>
      <c r="I24" s="172">
        <v>0</v>
      </c>
      <c r="J24" s="403"/>
    </row>
    <row r="25" spans="1:11">
      <c r="A25" s="405"/>
      <c r="B25" s="383"/>
      <c r="C25" s="157">
        <v>0</v>
      </c>
      <c r="D25" s="160">
        <v>0</v>
      </c>
      <c r="E25" s="163">
        <v>0</v>
      </c>
      <c r="F25" s="383"/>
      <c r="G25" s="166">
        <v>0</v>
      </c>
      <c r="H25" s="169">
        <v>0</v>
      </c>
      <c r="I25" s="172">
        <v>0</v>
      </c>
      <c r="J25" s="403"/>
    </row>
    <row r="26" spans="1:11" ht="15.75" thickBot="1">
      <c r="A26" s="405"/>
      <c r="B26" s="383"/>
      <c r="C26" s="158">
        <v>0</v>
      </c>
      <c r="D26" s="161">
        <v>0</v>
      </c>
      <c r="E26" s="164">
        <v>0</v>
      </c>
      <c r="F26" s="383"/>
      <c r="G26" s="167">
        <v>0</v>
      </c>
      <c r="H26" s="170">
        <v>0</v>
      </c>
      <c r="I26" s="173">
        <v>0</v>
      </c>
      <c r="J26" s="403"/>
    </row>
    <row r="27" spans="1:11">
      <c r="A27" s="399" t="s">
        <v>54</v>
      </c>
      <c r="B27" s="406" t="s">
        <v>975</v>
      </c>
      <c r="C27" s="157">
        <v>0</v>
      </c>
      <c r="D27" s="160">
        <v>0</v>
      </c>
      <c r="E27" s="163">
        <v>0</v>
      </c>
      <c r="F27" s="406" t="s">
        <v>975</v>
      </c>
      <c r="G27" s="166">
        <v>0</v>
      </c>
      <c r="H27" s="169">
        <v>0</v>
      </c>
      <c r="I27" s="172">
        <v>0</v>
      </c>
      <c r="J27" s="403" t="str">
        <f>'LTE TRX route'!B11</f>
        <v>LTE_Band2</v>
      </c>
    </row>
    <row r="28" spans="1:11">
      <c r="A28" s="405"/>
      <c r="B28" s="383"/>
      <c r="C28" s="157">
        <v>0</v>
      </c>
      <c r="D28" s="160">
        <v>0</v>
      </c>
      <c r="E28" s="163">
        <v>0</v>
      </c>
      <c r="F28" s="387"/>
      <c r="G28" s="166">
        <v>0</v>
      </c>
      <c r="H28" s="169">
        <v>0</v>
      </c>
      <c r="I28" s="172">
        <v>0</v>
      </c>
      <c r="J28" s="403"/>
    </row>
    <row r="29" spans="1:11">
      <c r="A29" s="405"/>
      <c r="B29" s="383"/>
      <c r="C29" s="157">
        <v>0</v>
      </c>
      <c r="D29" s="160">
        <v>0</v>
      </c>
      <c r="E29" s="163">
        <v>0</v>
      </c>
      <c r="F29" s="387"/>
      <c r="G29" s="166">
        <v>0</v>
      </c>
      <c r="H29" s="169">
        <v>0</v>
      </c>
      <c r="I29" s="172">
        <v>0</v>
      </c>
      <c r="J29" s="403"/>
    </row>
    <row r="30" spans="1:11">
      <c r="A30" s="405"/>
      <c r="B30" s="383"/>
      <c r="C30" s="157">
        <v>0</v>
      </c>
      <c r="D30" s="160">
        <v>0</v>
      </c>
      <c r="E30" s="163">
        <v>0</v>
      </c>
      <c r="F30" s="387"/>
      <c r="G30" s="166">
        <v>0</v>
      </c>
      <c r="H30" s="169">
        <v>0</v>
      </c>
      <c r="I30" s="172">
        <v>0</v>
      </c>
      <c r="J30" s="403"/>
    </row>
    <row r="31" spans="1:11">
      <c r="A31" s="405"/>
      <c r="B31" s="383"/>
      <c r="C31" s="157">
        <v>0</v>
      </c>
      <c r="D31" s="160">
        <v>0</v>
      </c>
      <c r="E31" s="163">
        <v>0</v>
      </c>
      <c r="F31" s="387"/>
      <c r="G31" s="166">
        <v>0</v>
      </c>
      <c r="H31" s="169">
        <v>0</v>
      </c>
      <c r="I31" s="172">
        <v>0</v>
      </c>
      <c r="J31" s="403"/>
    </row>
    <row r="32" spans="1:11" ht="15.75" thickBot="1">
      <c r="A32" s="405"/>
      <c r="B32" s="383"/>
      <c r="C32" s="158">
        <v>0</v>
      </c>
      <c r="D32" s="161">
        <v>0</v>
      </c>
      <c r="E32" s="164">
        <v>0</v>
      </c>
      <c r="F32" s="407"/>
      <c r="G32" s="167">
        <v>0</v>
      </c>
      <c r="H32" s="170">
        <v>0</v>
      </c>
      <c r="I32" s="173">
        <v>0</v>
      </c>
      <c r="J32" s="403"/>
    </row>
    <row r="33" spans="1:10">
      <c r="A33" s="399" t="s">
        <v>55</v>
      </c>
      <c r="B33" s="406" t="s">
        <v>975</v>
      </c>
      <c r="C33" s="157">
        <v>0</v>
      </c>
      <c r="D33" s="160">
        <v>0</v>
      </c>
      <c r="E33" s="163">
        <v>0</v>
      </c>
      <c r="F33" s="387" t="s">
        <v>975</v>
      </c>
      <c r="G33" s="166">
        <v>0</v>
      </c>
      <c r="H33" s="169">
        <v>0</v>
      </c>
      <c r="I33" s="172">
        <v>0</v>
      </c>
      <c r="J33" s="402" t="str">
        <f>'LTE TRX route'!B12</f>
        <v>LTE_Band3</v>
      </c>
    </row>
    <row r="34" spans="1:10">
      <c r="A34" s="405"/>
      <c r="B34" s="383"/>
      <c r="C34" s="157">
        <v>0</v>
      </c>
      <c r="D34" s="160">
        <v>0</v>
      </c>
      <c r="E34" s="163">
        <v>0</v>
      </c>
      <c r="F34" s="387"/>
      <c r="G34" s="166">
        <v>0</v>
      </c>
      <c r="H34" s="169">
        <v>0</v>
      </c>
      <c r="I34" s="172">
        <v>0</v>
      </c>
      <c r="J34" s="403"/>
    </row>
    <row r="35" spans="1:10">
      <c r="A35" s="405"/>
      <c r="B35" s="383"/>
      <c r="C35" s="157">
        <v>0</v>
      </c>
      <c r="D35" s="160">
        <v>0</v>
      </c>
      <c r="E35" s="163">
        <v>0</v>
      </c>
      <c r="F35" s="387"/>
      <c r="G35" s="166">
        <v>0</v>
      </c>
      <c r="H35" s="169">
        <v>0</v>
      </c>
      <c r="I35" s="172">
        <v>0</v>
      </c>
      <c r="J35" s="403"/>
    </row>
    <row r="36" spans="1:10">
      <c r="A36" s="405"/>
      <c r="B36" s="383"/>
      <c r="C36" s="157">
        <v>0</v>
      </c>
      <c r="D36" s="160">
        <v>0</v>
      </c>
      <c r="E36" s="163">
        <v>0</v>
      </c>
      <c r="F36" s="387"/>
      <c r="G36" s="166">
        <v>0</v>
      </c>
      <c r="H36" s="169">
        <v>0</v>
      </c>
      <c r="I36" s="172">
        <v>0</v>
      </c>
      <c r="J36" s="403"/>
    </row>
    <row r="37" spans="1:10">
      <c r="A37" s="405"/>
      <c r="B37" s="383"/>
      <c r="C37" s="157">
        <v>0</v>
      </c>
      <c r="D37" s="160">
        <v>0</v>
      </c>
      <c r="E37" s="163">
        <v>0</v>
      </c>
      <c r="F37" s="387"/>
      <c r="G37" s="166">
        <v>0</v>
      </c>
      <c r="H37" s="169">
        <v>0</v>
      </c>
      <c r="I37" s="172">
        <v>0</v>
      </c>
      <c r="J37" s="403"/>
    </row>
    <row r="38" spans="1:10" ht="15.75" thickBot="1">
      <c r="A38" s="405"/>
      <c r="B38" s="383"/>
      <c r="C38" s="158">
        <v>0</v>
      </c>
      <c r="D38" s="161">
        <v>0</v>
      </c>
      <c r="E38" s="164">
        <v>0</v>
      </c>
      <c r="F38" s="407"/>
      <c r="G38" s="167">
        <v>0</v>
      </c>
      <c r="H38" s="170">
        <v>0</v>
      </c>
      <c r="I38" s="173">
        <v>0</v>
      </c>
      <c r="J38" s="404"/>
    </row>
    <row r="39" spans="1:10">
      <c r="A39" s="399" t="s">
        <v>56</v>
      </c>
      <c r="B39" s="406" t="s">
        <v>975</v>
      </c>
      <c r="C39" s="157">
        <v>0</v>
      </c>
      <c r="D39" s="160">
        <v>0</v>
      </c>
      <c r="E39" s="163">
        <v>0</v>
      </c>
      <c r="F39" s="387" t="s">
        <v>975</v>
      </c>
      <c r="G39" s="166">
        <v>0</v>
      </c>
      <c r="H39" s="169">
        <v>0</v>
      </c>
      <c r="I39" s="172">
        <v>0</v>
      </c>
      <c r="J39" s="403" t="str">
        <f>'LTE TRX route'!B13</f>
        <v>LTE_Band4</v>
      </c>
    </row>
    <row r="40" spans="1:10">
      <c r="A40" s="405"/>
      <c r="B40" s="383"/>
      <c r="C40" s="157">
        <v>0</v>
      </c>
      <c r="D40" s="160">
        <v>0</v>
      </c>
      <c r="E40" s="163">
        <v>0</v>
      </c>
      <c r="F40" s="387"/>
      <c r="G40" s="166">
        <v>0</v>
      </c>
      <c r="H40" s="169">
        <v>0</v>
      </c>
      <c r="I40" s="172">
        <v>0</v>
      </c>
      <c r="J40" s="403"/>
    </row>
    <row r="41" spans="1:10">
      <c r="A41" s="405"/>
      <c r="B41" s="383"/>
      <c r="C41" s="157">
        <v>0</v>
      </c>
      <c r="D41" s="160">
        <v>0</v>
      </c>
      <c r="E41" s="163">
        <v>0</v>
      </c>
      <c r="F41" s="387"/>
      <c r="G41" s="166">
        <v>0</v>
      </c>
      <c r="H41" s="169">
        <v>0</v>
      </c>
      <c r="I41" s="172">
        <v>0</v>
      </c>
      <c r="J41" s="403"/>
    </row>
    <row r="42" spans="1:10">
      <c r="A42" s="405"/>
      <c r="B42" s="383"/>
      <c r="C42" s="157">
        <v>0</v>
      </c>
      <c r="D42" s="160">
        <v>0</v>
      </c>
      <c r="E42" s="163">
        <v>0</v>
      </c>
      <c r="F42" s="387"/>
      <c r="G42" s="166">
        <v>0</v>
      </c>
      <c r="H42" s="169">
        <v>0</v>
      </c>
      <c r="I42" s="172">
        <v>0</v>
      </c>
      <c r="J42" s="403"/>
    </row>
    <row r="43" spans="1:10">
      <c r="A43" s="405"/>
      <c r="B43" s="383"/>
      <c r="C43" s="157">
        <v>0</v>
      </c>
      <c r="D43" s="160">
        <v>0</v>
      </c>
      <c r="E43" s="163">
        <v>0</v>
      </c>
      <c r="F43" s="387"/>
      <c r="G43" s="166">
        <v>0</v>
      </c>
      <c r="H43" s="169">
        <v>0</v>
      </c>
      <c r="I43" s="172">
        <v>0</v>
      </c>
      <c r="J43" s="403"/>
    </row>
    <row r="44" spans="1:10" ht="15.75" thickBot="1">
      <c r="A44" s="405"/>
      <c r="B44" s="383"/>
      <c r="C44" s="158">
        <v>0</v>
      </c>
      <c r="D44" s="161">
        <v>0</v>
      </c>
      <c r="E44" s="164">
        <v>0</v>
      </c>
      <c r="F44" s="407"/>
      <c r="G44" s="167">
        <v>0</v>
      </c>
      <c r="H44" s="170">
        <v>0</v>
      </c>
      <c r="I44" s="173">
        <v>0</v>
      </c>
      <c r="J44" s="403"/>
    </row>
    <row r="45" spans="1:10">
      <c r="A45" s="399" t="s">
        <v>57</v>
      </c>
      <c r="B45" s="406" t="s">
        <v>975</v>
      </c>
      <c r="C45" s="157">
        <v>0</v>
      </c>
      <c r="D45" s="160">
        <v>0</v>
      </c>
      <c r="E45" s="163">
        <v>0</v>
      </c>
      <c r="F45" s="387" t="s">
        <v>975</v>
      </c>
      <c r="G45" s="166">
        <v>0</v>
      </c>
      <c r="H45" s="169">
        <v>0</v>
      </c>
      <c r="I45" s="172">
        <v>0</v>
      </c>
      <c r="J45" s="402" t="str">
        <f>'LTE TRX route'!B14</f>
        <v>LTE_Band5</v>
      </c>
    </row>
    <row r="46" spans="1:10">
      <c r="A46" s="405"/>
      <c r="B46" s="383"/>
      <c r="C46" s="157">
        <v>0</v>
      </c>
      <c r="D46" s="160">
        <v>0</v>
      </c>
      <c r="E46" s="163">
        <v>0</v>
      </c>
      <c r="F46" s="387"/>
      <c r="G46" s="166">
        <v>0</v>
      </c>
      <c r="H46" s="169">
        <v>0</v>
      </c>
      <c r="I46" s="172">
        <v>0</v>
      </c>
      <c r="J46" s="403"/>
    </row>
    <row r="47" spans="1:10">
      <c r="A47" s="405"/>
      <c r="B47" s="383"/>
      <c r="C47" s="157">
        <v>0</v>
      </c>
      <c r="D47" s="160">
        <v>0</v>
      </c>
      <c r="E47" s="163">
        <v>0</v>
      </c>
      <c r="F47" s="387"/>
      <c r="G47" s="166">
        <v>0</v>
      </c>
      <c r="H47" s="169">
        <v>0</v>
      </c>
      <c r="I47" s="172">
        <v>0</v>
      </c>
      <c r="J47" s="403"/>
    </row>
    <row r="48" spans="1:10">
      <c r="A48" s="405"/>
      <c r="B48" s="383"/>
      <c r="C48" s="157">
        <v>0</v>
      </c>
      <c r="D48" s="160">
        <v>0</v>
      </c>
      <c r="E48" s="163">
        <v>0</v>
      </c>
      <c r="F48" s="387"/>
      <c r="G48" s="166">
        <v>0</v>
      </c>
      <c r="H48" s="169">
        <v>0</v>
      </c>
      <c r="I48" s="172">
        <v>0</v>
      </c>
      <c r="J48" s="403"/>
    </row>
    <row r="49" spans="1:10">
      <c r="A49" s="405"/>
      <c r="B49" s="383"/>
      <c r="C49" s="157">
        <v>0</v>
      </c>
      <c r="D49" s="160">
        <v>0</v>
      </c>
      <c r="E49" s="163">
        <v>0</v>
      </c>
      <c r="F49" s="387"/>
      <c r="G49" s="166">
        <v>0</v>
      </c>
      <c r="H49" s="169">
        <v>0</v>
      </c>
      <c r="I49" s="172">
        <v>0</v>
      </c>
      <c r="J49" s="403"/>
    </row>
    <row r="50" spans="1:10" ht="15.75" thickBot="1">
      <c r="A50" s="405"/>
      <c r="B50" s="383"/>
      <c r="C50" s="158">
        <v>0</v>
      </c>
      <c r="D50" s="161">
        <v>0</v>
      </c>
      <c r="E50" s="164">
        <v>0</v>
      </c>
      <c r="F50" s="407"/>
      <c r="G50" s="167">
        <v>0</v>
      </c>
      <c r="H50" s="170">
        <v>0</v>
      </c>
      <c r="I50" s="173">
        <v>0</v>
      </c>
      <c r="J50" s="404"/>
    </row>
    <row r="51" spans="1:10">
      <c r="A51" s="399" t="s">
        <v>58</v>
      </c>
      <c r="B51" s="406" t="s">
        <v>975</v>
      </c>
      <c r="C51" s="157">
        <v>0</v>
      </c>
      <c r="D51" s="160">
        <v>0</v>
      </c>
      <c r="E51" s="163">
        <v>0</v>
      </c>
      <c r="F51" s="387" t="s">
        <v>975</v>
      </c>
      <c r="G51" s="166">
        <v>0</v>
      </c>
      <c r="H51" s="169">
        <v>0</v>
      </c>
      <c r="I51" s="172">
        <v>0</v>
      </c>
      <c r="J51" s="402" t="str">
        <f>'LTE TRX route'!B15</f>
        <v>LTE_Band8</v>
      </c>
    </row>
    <row r="52" spans="1:10">
      <c r="A52" s="405"/>
      <c r="B52" s="383"/>
      <c r="C52" s="157">
        <v>0</v>
      </c>
      <c r="D52" s="160">
        <v>0</v>
      </c>
      <c r="E52" s="163">
        <v>0</v>
      </c>
      <c r="F52" s="387"/>
      <c r="G52" s="166">
        <v>0</v>
      </c>
      <c r="H52" s="169">
        <v>0</v>
      </c>
      <c r="I52" s="172">
        <v>0</v>
      </c>
      <c r="J52" s="403"/>
    </row>
    <row r="53" spans="1:10">
      <c r="A53" s="405"/>
      <c r="B53" s="383"/>
      <c r="C53" s="157">
        <v>0</v>
      </c>
      <c r="D53" s="160">
        <v>0</v>
      </c>
      <c r="E53" s="163">
        <v>0</v>
      </c>
      <c r="F53" s="387"/>
      <c r="G53" s="166">
        <v>0</v>
      </c>
      <c r="H53" s="169">
        <v>0</v>
      </c>
      <c r="I53" s="172">
        <v>0</v>
      </c>
      <c r="J53" s="403"/>
    </row>
    <row r="54" spans="1:10">
      <c r="A54" s="405"/>
      <c r="B54" s="383"/>
      <c r="C54" s="157">
        <v>0</v>
      </c>
      <c r="D54" s="160">
        <v>0</v>
      </c>
      <c r="E54" s="163">
        <v>0</v>
      </c>
      <c r="F54" s="387"/>
      <c r="G54" s="166">
        <v>0</v>
      </c>
      <c r="H54" s="169">
        <v>0</v>
      </c>
      <c r="I54" s="172">
        <v>0</v>
      </c>
      <c r="J54" s="403"/>
    </row>
    <row r="55" spans="1:10">
      <c r="A55" s="405"/>
      <c r="B55" s="383"/>
      <c r="C55" s="157">
        <v>0</v>
      </c>
      <c r="D55" s="160">
        <v>0</v>
      </c>
      <c r="E55" s="163">
        <v>0</v>
      </c>
      <c r="F55" s="387"/>
      <c r="G55" s="166">
        <v>0</v>
      </c>
      <c r="H55" s="169">
        <v>0</v>
      </c>
      <c r="I55" s="172">
        <v>0</v>
      </c>
      <c r="J55" s="403"/>
    </row>
    <row r="56" spans="1:10" ht="15.75" thickBot="1">
      <c r="A56" s="405"/>
      <c r="B56" s="383"/>
      <c r="C56" s="158">
        <v>0</v>
      </c>
      <c r="D56" s="161">
        <v>0</v>
      </c>
      <c r="E56" s="164">
        <v>0</v>
      </c>
      <c r="F56" s="407"/>
      <c r="G56" s="167">
        <v>0</v>
      </c>
      <c r="H56" s="170">
        <v>0</v>
      </c>
      <c r="I56" s="173">
        <v>0</v>
      </c>
      <c r="J56" s="404"/>
    </row>
    <row r="57" spans="1:10">
      <c r="A57" s="399" t="s">
        <v>59</v>
      </c>
      <c r="B57" s="406" t="s">
        <v>975</v>
      </c>
      <c r="C57" s="157">
        <v>0</v>
      </c>
      <c r="D57" s="160">
        <v>0</v>
      </c>
      <c r="E57" s="163">
        <v>0</v>
      </c>
      <c r="F57" s="387" t="s">
        <v>975</v>
      </c>
      <c r="G57" s="166">
        <v>0</v>
      </c>
      <c r="H57" s="169">
        <v>0</v>
      </c>
      <c r="I57" s="172">
        <v>0</v>
      </c>
      <c r="J57" s="402" t="str">
        <f>'LTE TRX route'!B16</f>
        <v>LTE_Band12</v>
      </c>
    </row>
    <row r="58" spans="1:10">
      <c r="A58" s="405"/>
      <c r="B58" s="383"/>
      <c r="C58" s="157">
        <v>0</v>
      </c>
      <c r="D58" s="160">
        <v>0</v>
      </c>
      <c r="E58" s="163">
        <v>0</v>
      </c>
      <c r="F58" s="387"/>
      <c r="G58" s="166">
        <v>0</v>
      </c>
      <c r="H58" s="169">
        <v>0</v>
      </c>
      <c r="I58" s="172">
        <v>0</v>
      </c>
      <c r="J58" s="403"/>
    </row>
    <row r="59" spans="1:10">
      <c r="A59" s="405"/>
      <c r="B59" s="383"/>
      <c r="C59" s="157">
        <v>0</v>
      </c>
      <c r="D59" s="160">
        <v>0</v>
      </c>
      <c r="E59" s="163">
        <v>0</v>
      </c>
      <c r="F59" s="387"/>
      <c r="G59" s="166">
        <v>0</v>
      </c>
      <c r="H59" s="169">
        <v>0</v>
      </c>
      <c r="I59" s="172">
        <v>0</v>
      </c>
      <c r="J59" s="403"/>
    </row>
    <row r="60" spans="1:10">
      <c r="A60" s="405"/>
      <c r="B60" s="383"/>
      <c r="C60" s="157">
        <v>0</v>
      </c>
      <c r="D60" s="160">
        <v>0</v>
      </c>
      <c r="E60" s="163">
        <v>0</v>
      </c>
      <c r="F60" s="387"/>
      <c r="G60" s="166">
        <v>0</v>
      </c>
      <c r="H60" s="169">
        <v>0</v>
      </c>
      <c r="I60" s="172">
        <v>0</v>
      </c>
      <c r="J60" s="403"/>
    </row>
    <row r="61" spans="1:10">
      <c r="A61" s="405"/>
      <c r="B61" s="383"/>
      <c r="C61" s="157">
        <v>0</v>
      </c>
      <c r="D61" s="160">
        <v>0</v>
      </c>
      <c r="E61" s="163">
        <v>0</v>
      </c>
      <c r="F61" s="387"/>
      <c r="G61" s="166">
        <v>0</v>
      </c>
      <c r="H61" s="169">
        <v>0</v>
      </c>
      <c r="I61" s="172">
        <v>0</v>
      </c>
      <c r="J61" s="403"/>
    </row>
    <row r="62" spans="1:10" ht="15.75" thickBot="1">
      <c r="A62" s="405"/>
      <c r="B62" s="383"/>
      <c r="C62" s="158">
        <v>0</v>
      </c>
      <c r="D62" s="161">
        <v>0</v>
      </c>
      <c r="E62" s="164">
        <v>0</v>
      </c>
      <c r="F62" s="407"/>
      <c r="G62" s="167">
        <v>0</v>
      </c>
      <c r="H62" s="170">
        <v>0</v>
      </c>
      <c r="I62" s="173">
        <v>0</v>
      </c>
      <c r="J62" s="404"/>
    </row>
    <row r="63" spans="1:10">
      <c r="A63" s="399" t="s">
        <v>60</v>
      </c>
      <c r="B63" s="406" t="s">
        <v>975</v>
      </c>
      <c r="C63" s="157">
        <v>0</v>
      </c>
      <c r="D63" s="160">
        <v>0</v>
      </c>
      <c r="E63" s="163">
        <v>0</v>
      </c>
      <c r="F63" s="387" t="s">
        <v>975</v>
      </c>
      <c r="G63" s="166">
        <v>0</v>
      </c>
      <c r="H63" s="169">
        <v>0</v>
      </c>
      <c r="I63" s="172">
        <v>0</v>
      </c>
      <c r="J63" s="402" t="str">
        <f>'LTE TRX route'!B17</f>
        <v>LTE_Band13</v>
      </c>
    </row>
    <row r="64" spans="1:10">
      <c r="A64" s="405"/>
      <c r="B64" s="387"/>
      <c r="C64" s="157">
        <v>0</v>
      </c>
      <c r="D64" s="160">
        <v>0</v>
      </c>
      <c r="E64" s="163">
        <v>0</v>
      </c>
      <c r="F64" s="387"/>
      <c r="G64" s="166">
        <v>0</v>
      </c>
      <c r="H64" s="169">
        <v>0</v>
      </c>
      <c r="I64" s="172">
        <v>0</v>
      </c>
      <c r="J64" s="403"/>
    </row>
    <row r="65" spans="1:10">
      <c r="A65" s="405"/>
      <c r="B65" s="387"/>
      <c r="C65" s="157">
        <v>0</v>
      </c>
      <c r="D65" s="160">
        <v>0</v>
      </c>
      <c r="E65" s="163">
        <v>0</v>
      </c>
      <c r="F65" s="387"/>
      <c r="G65" s="166">
        <v>0</v>
      </c>
      <c r="H65" s="169">
        <v>0</v>
      </c>
      <c r="I65" s="172">
        <v>0</v>
      </c>
      <c r="J65" s="403"/>
    </row>
    <row r="66" spans="1:10">
      <c r="A66" s="405"/>
      <c r="B66" s="387"/>
      <c r="C66" s="157">
        <v>0</v>
      </c>
      <c r="D66" s="160">
        <v>0</v>
      </c>
      <c r="E66" s="163">
        <v>0</v>
      </c>
      <c r="F66" s="387"/>
      <c r="G66" s="166">
        <v>0</v>
      </c>
      <c r="H66" s="169">
        <v>0</v>
      </c>
      <c r="I66" s="172">
        <v>0</v>
      </c>
      <c r="J66" s="403"/>
    </row>
    <row r="67" spans="1:10">
      <c r="A67" s="405"/>
      <c r="B67" s="387"/>
      <c r="C67" s="157">
        <v>0</v>
      </c>
      <c r="D67" s="160">
        <v>0</v>
      </c>
      <c r="E67" s="163">
        <v>0</v>
      </c>
      <c r="F67" s="387"/>
      <c r="G67" s="166">
        <v>0</v>
      </c>
      <c r="H67" s="169">
        <v>0</v>
      </c>
      <c r="I67" s="172">
        <v>0</v>
      </c>
      <c r="J67" s="403"/>
    </row>
    <row r="68" spans="1:10" ht="15.75" thickBot="1">
      <c r="A68" s="405"/>
      <c r="B68" s="407"/>
      <c r="C68" s="158">
        <v>0</v>
      </c>
      <c r="D68" s="161">
        <v>0</v>
      </c>
      <c r="E68" s="164">
        <v>0</v>
      </c>
      <c r="F68" s="407"/>
      <c r="G68" s="167">
        <v>0</v>
      </c>
      <c r="H68" s="170">
        <v>0</v>
      </c>
      <c r="I68" s="173">
        <v>0</v>
      </c>
      <c r="J68" s="404"/>
    </row>
    <row r="69" spans="1:10">
      <c r="A69" s="399" t="s">
        <v>61</v>
      </c>
      <c r="B69" s="387" t="s">
        <v>975</v>
      </c>
      <c r="C69" s="157">
        <v>0</v>
      </c>
      <c r="D69" s="160">
        <v>0</v>
      </c>
      <c r="E69" s="163">
        <v>0</v>
      </c>
      <c r="F69" s="387" t="s">
        <v>975</v>
      </c>
      <c r="G69" s="166">
        <v>0</v>
      </c>
      <c r="H69" s="169">
        <v>0</v>
      </c>
      <c r="I69" s="172">
        <v>0</v>
      </c>
      <c r="J69" s="403" t="str">
        <f>'LTE TRX route'!B18</f>
        <v>LTE_Band14</v>
      </c>
    </row>
    <row r="70" spans="1:10">
      <c r="A70" s="405"/>
      <c r="B70" s="387"/>
      <c r="C70" s="157">
        <v>0</v>
      </c>
      <c r="D70" s="160">
        <v>0</v>
      </c>
      <c r="E70" s="163">
        <v>0</v>
      </c>
      <c r="F70" s="387"/>
      <c r="G70" s="166">
        <v>0</v>
      </c>
      <c r="H70" s="169">
        <v>0</v>
      </c>
      <c r="I70" s="172">
        <v>0</v>
      </c>
      <c r="J70" s="403"/>
    </row>
    <row r="71" spans="1:10">
      <c r="A71" s="405"/>
      <c r="B71" s="387"/>
      <c r="C71" s="157">
        <v>0</v>
      </c>
      <c r="D71" s="160">
        <v>0</v>
      </c>
      <c r="E71" s="163">
        <v>0</v>
      </c>
      <c r="F71" s="387"/>
      <c r="G71" s="166">
        <v>0</v>
      </c>
      <c r="H71" s="169">
        <v>0</v>
      </c>
      <c r="I71" s="172">
        <v>0</v>
      </c>
      <c r="J71" s="403"/>
    </row>
    <row r="72" spans="1:10">
      <c r="A72" s="405"/>
      <c r="B72" s="387"/>
      <c r="C72" s="157">
        <v>0</v>
      </c>
      <c r="D72" s="160">
        <v>0</v>
      </c>
      <c r="E72" s="163">
        <v>0</v>
      </c>
      <c r="F72" s="387"/>
      <c r="G72" s="166">
        <v>0</v>
      </c>
      <c r="H72" s="169">
        <v>0</v>
      </c>
      <c r="I72" s="172">
        <v>0</v>
      </c>
      <c r="J72" s="403"/>
    </row>
    <row r="73" spans="1:10">
      <c r="A73" s="405"/>
      <c r="B73" s="387"/>
      <c r="C73" s="157">
        <v>0</v>
      </c>
      <c r="D73" s="160">
        <v>0</v>
      </c>
      <c r="E73" s="163">
        <v>0</v>
      </c>
      <c r="F73" s="387"/>
      <c r="G73" s="166">
        <v>0</v>
      </c>
      <c r="H73" s="169">
        <v>0</v>
      </c>
      <c r="I73" s="172">
        <v>0</v>
      </c>
      <c r="J73" s="403"/>
    </row>
    <row r="74" spans="1:10" ht="15.75" thickBot="1">
      <c r="A74" s="405"/>
      <c r="B74" s="407"/>
      <c r="C74" s="158">
        <v>0</v>
      </c>
      <c r="D74" s="161">
        <v>0</v>
      </c>
      <c r="E74" s="164">
        <v>0</v>
      </c>
      <c r="F74" s="407"/>
      <c r="G74" s="167">
        <v>0</v>
      </c>
      <c r="H74" s="170">
        <v>0</v>
      </c>
      <c r="I74" s="173">
        <v>0</v>
      </c>
      <c r="J74" s="404"/>
    </row>
    <row r="75" spans="1:10">
      <c r="A75" s="399" t="s">
        <v>62</v>
      </c>
      <c r="B75" s="387" t="s">
        <v>975</v>
      </c>
      <c r="C75" s="157">
        <v>0</v>
      </c>
      <c r="D75" s="160">
        <v>0</v>
      </c>
      <c r="E75" s="163">
        <v>0</v>
      </c>
      <c r="F75" s="387" t="s">
        <v>975</v>
      </c>
      <c r="G75" s="166">
        <v>0</v>
      </c>
      <c r="H75" s="169">
        <v>0</v>
      </c>
      <c r="I75" s="172">
        <v>0</v>
      </c>
      <c r="J75" s="403" t="str">
        <f>'LTE TRX route'!B19</f>
        <v>LTE_Band17</v>
      </c>
    </row>
    <row r="76" spans="1:10">
      <c r="A76" s="405"/>
      <c r="B76" s="387"/>
      <c r="C76" s="157">
        <v>0</v>
      </c>
      <c r="D76" s="160">
        <v>0</v>
      </c>
      <c r="E76" s="163">
        <v>0</v>
      </c>
      <c r="F76" s="387"/>
      <c r="G76" s="166">
        <v>0</v>
      </c>
      <c r="H76" s="169">
        <v>0</v>
      </c>
      <c r="I76" s="172">
        <v>0</v>
      </c>
      <c r="J76" s="403"/>
    </row>
    <row r="77" spans="1:10">
      <c r="A77" s="405"/>
      <c r="B77" s="387"/>
      <c r="C77" s="157">
        <v>0</v>
      </c>
      <c r="D77" s="160">
        <v>0</v>
      </c>
      <c r="E77" s="163">
        <v>0</v>
      </c>
      <c r="F77" s="387"/>
      <c r="G77" s="166">
        <v>0</v>
      </c>
      <c r="H77" s="169">
        <v>0</v>
      </c>
      <c r="I77" s="172">
        <v>0</v>
      </c>
      <c r="J77" s="403"/>
    </row>
    <row r="78" spans="1:10">
      <c r="A78" s="405"/>
      <c r="B78" s="387"/>
      <c r="C78" s="157">
        <v>0</v>
      </c>
      <c r="D78" s="160">
        <v>0</v>
      </c>
      <c r="E78" s="163">
        <v>0</v>
      </c>
      <c r="F78" s="387"/>
      <c r="G78" s="166">
        <v>0</v>
      </c>
      <c r="H78" s="169">
        <v>0</v>
      </c>
      <c r="I78" s="172">
        <v>0</v>
      </c>
      <c r="J78" s="403"/>
    </row>
    <row r="79" spans="1:10">
      <c r="A79" s="405"/>
      <c r="B79" s="387"/>
      <c r="C79" s="157">
        <v>0</v>
      </c>
      <c r="D79" s="160">
        <v>0</v>
      </c>
      <c r="E79" s="163">
        <v>0</v>
      </c>
      <c r="F79" s="387"/>
      <c r="G79" s="166">
        <v>0</v>
      </c>
      <c r="H79" s="169">
        <v>0</v>
      </c>
      <c r="I79" s="172">
        <v>0</v>
      </c>
      <c r="J79" s="403"/>
    </row>
    <row r="80" spans="1:10" ht="15.75" thickBot="1">
      <c r="A80" s="405"/>
      <c r="B80" s="407"/>
      <c r="C80" s="158">
        <v>0</v>
      </c>
      <c r="D80" s="161">
        <v>0</v>
      </c>
      <c r="E80" s="164">
        <v>0</v>
      </c>
      <c r="F80" s="407"/>
      <c r="G80" s="167">
        <v>0</v>
      </c>
      <c r="H80" s="170">
        <v>0</v>
      </c>
      <c r="I80" s="173">
        <v>0</v>
      </c>
      <c r="J80" s="403"/>
    </row>
    <row r="81" spans="1:10">
      <c r="A81" s="399" t="s">
        <v>63</v>
      </c>
      <c r="B81" s="406" t="s">
        <v>975</v>
      </c>
      <c r="C81" s="157">
        <v>0</v>
      </c>
      <c r="D81" s="160">
        <v>0</v>
      </c>
      <c r="E81" s="163">
        <v>0</v>
      </c>
      <c r="F81" s="387" t="s">
        <v>975</v>
      </c>
      <c r="G81" s="166">
        <v>0</v>
      </c>
      <c r="H81" s="169">
        <v>0</v>
      </c>
      <c r="I81" s="172">
        <v>0</v>
      </c>
      <c r="J81" s="402" t="str">
        <f>'LTE TRX route'!B20</f>
        <v>LTE_Band25</v>
      </c>
    </row>
    <row r="82" spans="1:10">
      <c r="A82" s="405"/>
      <c r="B82" s="387"/>
      <c r="C82" s="157">
        <v>0</v>
      </c>
      <c r="D82" s="160">
        <v>0</v>
      </c>
      <c r="E82" s="163">
        <v>0</v>
      </c>
      <c r="F82" s="387"/>
      <c r="G82" s="166">
        <v>0</v>
      </c>
      <c r="H82" s="169">
        <v>0</v>
      </c>
      <c r="I82" s="172">
        <v>0</v>
      </c>
      <c r="J82" s="403"/>
    </row>
    <row r="83" spans="1:10">
      <c r="A83" s="405"/>
      <c r="B83" s="387"/>
      <c r="C83" s="157">
        <v>0</v>
      </c>
      <c r="D83" s="160">
        <v>0</v>
      </c>
      <c r="E83" s="163">
        <v>0</v>
      </c>
      <c r="F83" s="387"/>
      <c r="G83" s="166">
        <v>0</v>
      </c>
      <c r="H83" s="169">
        <v>0</v>
      </c>
      <c r="I83" s="172">
        <v>0</v>
      </c>
      <c r="J83" s="403"/>
    </row>
    <row r="84" spans="1:10">
      <c r="A84" s="405"/>
      <c r="B84" s="387"/>
      <c r="C84" s="157">
        <v>0</v>
      </c>
      <c r="D84" s="160">
        <v>0</v>
      </c>
      <c r="E84" s="163">
        <v>0</v>
      </c>
      <c r="F84" s="387"/>
      <c r="G84" s="166">
        <v>0</v>
      </c>
      <c r="H84" s="169">
        <v>0</v>
      </c>
      <c r="I84" s="172">
        <v>0</v>
      </c>
      <c r="J84" s="403"/>
    </row>
    <row r="85" spans="1:10">
      <c r="A85" s="405"/>
      <c r="B85" s="387"/>
      <c r="C85" s="157">
        <v>0</v>
      </c>
      <c r="D85" s="160">
        <v>0</v>
      </c>
      <c r="E85" s="163">
        <v>0</v>
      </c>
      <c r="F85" s="387"/>
      <c r="G85" s="166">
        <v>0</v>
      </c>
      <c r="H85" s="169">
        <v>0</v>
      </c>
      <c r="I85" s="172">
        <v>0</v>
      </c>
      <c r="J85" s="403"/>
    </row>
    <row r="86" spans="1:10" ht="15.75" thickBot="1">
      <c r="A86" s="405"/>
      <c r="B86" s="407"/>
      <c r="C86" s="158">
        <v>0</v>
      </c>
      <c r="D86" s="161">
        <v>0</v>
      </c>
      <c r="E86" s="164">
        <v>0</v>
      </c>
      <c r="F86" s="407"/>
      <c r="G86" s="167">
        <v>0</v>
      </c>
      <c r="H86" s="170">
        <v>0</v>
      </c>
      <c r="I86" s="173">
        <v>0</v>
      </c>
      <c r="J86" s="404"/>
    </row>
    <row r="87" spans="1:10">
      <c r="A87" s="399" t="s">
        <v>64</v>
      </c>
      <c r="B87" s="387" t="s">
        <v>975</v>
      </c>
      <c r="C87" s="157">
        <v>0</v>
      </c>
      <c r="D87" s="160">
        <v>0</v>
      </c>
      <c r="E87" s="163">
        <v>0</v>
      </c>
      <c r="F87" s="387" t="s">
        <v>975</v>
      </c>
      <c r="G87" s="166">
        <v>0</v>
      </c>
      <c r="H87" s="169">
        <v>0</v>
      </c>
      <c r="I87" s="172">
        <v>0</v>
      </c>
      <c r="J87" s="402" t="str">
        <f>'LTE TRX route'!B21</f>
        <v>LTE_Band26</v>
      </c>
    </row>
    <row r="88" spans="1:10">
      <c r="A88" s="405"/>
      <c r="B88" s="387"/>
      <c r="C88" s="157">
        <v>0</v>
      </c>
      <c r="D88" s="160">
        <v>0</v>
      </c>
      <c r="E88" s="163">
        <v>0</v>
      </c>
      <c r="F88" s="387"/>
      <c r="G88" s="166">
        <v>0</v>
      </c>
      <c r="H88" s="169">
        <v>0</v>
      </c>
      <c r="I88" s="172">
        <v>0</v>
      </c>
      <c r="J88" s="403"/>
    </row>
    <row r="89" spans="1:10">
      <c r="A89" s="405"/>
      <c r="B89" s="387"/>
      <c r="C89" s="157">
        <v>0</v>
      </c>
      <c r="D89" s="160">
        <v>0</v>
      </c>
      <c r="E89" s="163">
        <v>0</v>
      </c>
      <c r="F89" s="387"/>
      <c r="G89" s="166">
        <v>0</v>
      </c>
      <c r="H89" s="169">
        <v>0</v>
      </c>
      <c r="I89" s="172">
        <v>0</v>
      </c>
      <c r="J89" s="403"/>
    </row>
    <row r="90" spans="1:10">
      <c r="A90" s="405"/>
      <c r="B90" s="387"/>
      <c r="C90" s="157">
        <v>0</v>
      </c>
      <c r="D90" s="160">
        <v>0</v>
      </c>
      <c r="E90" s="163">
        <v>0</v>
      </c>
      <c r="F90" s="387"/>
      <c r="G90" s="166">
        <v>0</v>
      </c>
      <c r="H90" s="169">
        <v>0</v>
      </c>
      <c r="I90" s="172">
        <v>0</v>
      </c>
      <c r="J90" s="403"/>
    </row>
    <row r="91" spans="1:10">
      <c r="A91" s="405"/>
      <c r="B91" s="387"/>
      <c r="C91" s="157">
        <v>0</v>
      </c>
      <c r="D91" s="160">
        <v>0</v>
      </c>
      <c r="E91" s="163">
        <v>0</v>
      </c>
      <c r="F91" s="387"/>
      <c r="G91" s="166">
        <v>0</v>
      </c>
      <c r="H91" s="169">
        <v>0</v>
      </c>
      <c r="I91" s="172">
        <v>0</v>
      </c>
      <c r="J91" s="403"/>
    </row>
    <row r="92" spans="1:10" ht="15.75" thickBot="1">
      <c r="A92" s="405"/>
      <c r="B92" s="407"/>
      <c r="C92" s="158">
        <v>0</v>
      </c>
      <c r="D92" s="161">
        <v>0</v>
      </c>
      <c r="E92" s="164">
        <v>0</v>
      </c>
      <c r="F92" s="407"/>
      <c r="G92" s="167">
        <v>0</v>
      </c>
      <c r="H92" s="170">
        <v>0</v>
      </c>
      <c r="I92" s="173">
        <v>0</v>
      </c>
      <c r="J92" s="404"/>
    </row>
    <row r="93" spans="1:10">
      <c r="A93" s="399" t="s">
        <v>65</v>
      </c>
      <c r="B93" s="406" t="s">
        <v>975</v>
      </c>
      <c r="C93" s="157">
        <v>0</v>
      </c>
      <c r="D93" s="160">
        <v>0</v>
      </c>
      <c r="E93" s="163">
        <v>0</v>
      </c>
      <c r="F93" s="387" t="s">
        <v>975</v>
      </c>
      <c r="G93" s="166">
        <v>0</v>
      </c>
      <c r="H93" s="169">
        <v>0</v>
      </c>
      <c r="I93" s="172">
        <v>0</v>
      </c>
      <c r="J93" s="403" t="str">
        <f>'LTE TRX route'!B22</f>
        <v>LTE_Band30</v>
      </c>
    </row>
    <row r="94" spans="1:10">
      <c r="A94" s="405"/>
      <c r="B94" s="383"/>
      <c r="C94" s="157">
        <v>0</v>
      </c>
      <c r="D94" s="160">
        <v>0</v>
      </c>
      <c r="E94" s="163">
        <v>0</v>
      </c>
      <c r="F94" s="387"/>
      <c r="G94" s="166">
        <v>0</v>
      </c>
      <c r="H94" s="169">
        <v>0</v>
      </c>
      <c r="I94" s="172">
        <v>0</v>
      </c>
      <c r="J94" s="403"/>
    </row>
    <row r="95" spans="1:10">
      <c r="A95" s="405"/>
      <c r="B95" s="383"/>
      <c r="C95" s="157">
        <v>0</v>
      </c>
      <c r="D95" s="160">
        <v>0</v>
      </c>
      <c r="E95" s="163">
        <v>0</v>
      </c>
      <c r="F95" s="387"/>
      <c r="G95" s="166">
        <v>0</v>
      </c>
      <c r="H95" s="169">
        <v>0</v>
      </c>
      <c r="I95" s="172">
        <v>0</v>
      </c>
      <c r="J95" s="403"/>
    </row>
    <row r="96" spans="1:10">
      <c r="A96" s="405"/>
      <c r="B96" s="383"/>
      <c r="C96" s="157">
        <v>0</v>
      </c>
      <c r="D96" s="160">
        <v>0</v>
      </c>
      <c r="E96" s="163">
        <v>0</v>
      </c>
      <c r="F96" s="387"/>
      <c r="G96" s="166">
        <v>0</v>
      </c>
      <c r="H96" s="169">
        <v>0</v>
      </c>
      <c r="I96" s="172">
        <v>0</v>
      </c>
      <c r="J96" s="403"/>
    </row>
    <row r="97" spans="1:10">
      <c r="A97" s="405"/>
      <c r="B97" s="383"/>
      <c r="C97" s="157">
        <v>0</v>
      </c>
      <c r="D97" s="160">
        <v>0</v>
      </c>
      <c r="E97" s="163">
        <v>0</v>
      </c>
      <c r="F97" s="387"/>
      <c r="G97" s="166">
        <v>0</v>
      </c>
      <c r="H97" s="169">
        <v>0</v>
      </c>
      <c r="I97" s="172">
        <v>0</v>
      </c>
      <c r="J97" s="403"/>
    </row>
    <row r="98" spans="1:10" ht="15.75" thickBot="1">
      <c r="A98" s="405"/>
      <c r="B98" s="383"/>
      <c r="C98" s="158">
        <v>0</v>
      </c>
      <c r="D98" s="161">
        <v>0</v>
      </c>
      <c r="E98" s="164">
        <v>0</v>
      </c>
      <c r="F98" s="407"/>
      <c r="G98" s="167">
        <v>0</v>
      </c>
      <c r="H98" s="170">
        <v>0</v>
      </c>
      <c r="I98" s="173">
        <v>0</v>
      </c>
      <c r="J98" s="403"/>
    </row>
    <row r="99" spans="1:10">
      <c r="A99" s="399" t="s">
        <v>66</v>
      </c>
      <c r="B99" s="406" t="s">
        <v>975</v>
      </c>
      <c r="C99" s="157">
        <v>0</v>
      </c>
      <c r="D99" s="160">
        <v>0</v>
      </c>
      <c r="E99" s="163">
        <v>0</v>
      </c>
      <c r="F99" s="387" t="s">
        <v>975</v>
      </c>
      <c r="G99" s="166">
        <v>0</v>
      </c>
      <c r="H99" s="169">
        <v>0</v>
      </c>
      <c r="I99" s="172">
        <v>0</v>
      </c>
      <c r="J99" s="402" t="str">
        <f>'LTE TRX route'!B23</f>
        <v>LTE_Band38</v>
      </c>
    </row>
    <row r="100" spans="1:10">
      <c r="A100" s="405"/>
      <c r="B100" s="383"/>
      <c r="C100" s="157">
        <v>0</v>
      </c>
      <c r="D100" s="160">
        <v>0</v>
      </c>
      <c r="E100" s="163">
        <v>0</v>
      </c>
      <c r="F100" s="387"/>
      <c r="G100" s="166">
        <v>0</v>
      </c>
      <c r="H100" s="169">
        <v>0</v>
      </c>
      <c r="I100" s="172">
        <v>0</v>
      </c>
      <c r="J100" s="403"/>
    </row>
    <row r="101" spans="1:10">
      <c r="A101" s="405"/>
      <c r="B101" s="383"/>
      <c r="C101" s="157">
        <v>0</v>
      </c>
      <c r="D101" s="160">
        <v>0</v>
      </c>
      <c r="E101" s="163">
        <v>0</v>
      </c>
      <c r="F101" s="387"/>
      <c r="G101" s="166">
        <v>0</v>
      </c>
      <c r="H101" s="169">
        <v>0</v>
      </c>
      <c r="I101" s="172">
        <v>0</v>
      </c>
      <c r="J101" s="403"/>
    </row>
    <row r="102" spans="1:10">
      <c r="A102" s="405"/>
      <c r="B102" s="383"/>
      <c r="C102" s="157">
        <v>0</v>
      </c>
      <c r="D102" s="160">
        <v>0</v>
      </c>
      <c r="E102" s="163">
        <v>0</v>
      </c>
      <c r="F102" s="387"/>
      <c r="G102" s="166">
        <v>0</v>
      </c>
      <c r="H102" s="169">
        <v>0</v>
      </c>
      <c r="I102" s="172">
        <v>0</v>
      </c>
      <c r="J102" s="403"/>
    </row>
    <row r="103" spans="1:10">
      <c r="A103" s="405"/>
      <c r="B103" s="383"/>
      <c r="C103" s="157">
        <v>0</v>
      </c>
      <c r="D103" s="160">
        <v>0</v>
      </c>
      <c r="E103" s="163">
        <v>0</v>
      </c>
      <c r="F103" s="387"/>
      <c r="G103" s="166">
        <v>0</v>
      </c>
      <c r="H103" s="169">
        <v>0</v>
      </c>
      <c r="I103" s="172">
        <v>0</v>
      </c>
      <c r="J103" s="403"/>
    </row>
    <row r="104" spans="1:10" ht="15.75" thickBot="1">
      <c r="A104" s="405"/>
      <c r="B104" s="383"/>
      <c r="C104" s="158">
        <v>0</v>
      </c>
      <c r="D104" s="161">
        <v>0</v>
      </c>
      <c r="E104" s="164">
        <v>0</v>
      </c>
      <c r="F104" s="407"/>
      <c r="G104" s="167">
        <v>0</v>
      </c>
      <c r="H104" s="170">
        <v>0</v>
      </c>
      <c r="I104" s="173">
        <v>0</v>
      </c>
      <c r="J104" s="404"/>
    </row>
    <row r="105" spans="1:10">
      <c r="A105" s="399" t="s">
        <v>67</v>
      </c>
      <c r="B105" s="406" t="s">
        <v>975</v>
      </c>
      <c r="C105" s="157">
        <v>0</v>
      </c>
      <c r="D105" s="160">
        <v>0</v>
      </c>
      <c r="E105" s="163">
        <v>0</v>
      </c>
      <c r="F105" s="387" t="s">
        <v>975</v>
      </c>
      <c r="G105" s="166">
        <v>0</v>
      </c>
      <c r="H105" s="169">
        <v>0</v>
      </c>
      <c r="I105" s="172">
        <v>0</v>
      </c>
      <c r="J105" s="403" t="str">
        <f>'LTE TRX route'!B24</f>
        <v>LTE_Band40</v>
      </c>
    </row>
    <row r="106" spans="1:10">
      <c r="A106" s="405"/>
      <c r="B106" s="383"/>
      <c r="C106" s="157">
        <v>0</v>
      </c>
      <c r="D106" s="160">
        <v>0</v>
      </c>
      <c r="E106" s="163">
        <v>0</v>
      </c>
      <c r="F106" s="387"/>
      <c r="G106" s="166">
        <v>0</v>
      </c>
      <c r="H106" s="169">
        <v>0</v>
      </c>
      <c r="I106" s="172">
        <v>0</v>
      </c>
      <c r="J106" s="403"/>
    </row>
    <row r="107" spans="1:10">
      <c r="A107" s="405"/>
      <c r="B107" s="383"/>
      <c r="C107" s="157">
        <v>0</v>
      </c>
      <c r="D107" s="160">
        <v>0</v>
      </c>
      <c r="E107" s="163">
        <v>0</v>
      </c>
      <c r="F107" s="387"/>
      <c r="G107" s="166">
        <v>0</v>
      </c>
      <c r="H107" s="169">
        <v>0</v>
      </c>
      <c r="I107" s="172">
        <v>0</v>
      </c>
      <c r="J107" s="403"/>
    </row>
    <row r="108" spans="1:10">
      <c r="A108" s="405"/>
      <c r="B108" s="383"/>
      <c r="C108" s="157">
        <v>0</v>
      </c>
      <c r="D108" s="160">
        <v>0</v>
      </c>
      <c r="E108" s="163">
        <v>0</v>
      </c>
      <c r="F108" s="387"/>
      <c r="G108" s="166">
        <v>0</v>
      </c>
      <c r="H108" s="169">
        <v>0</v>
      </c>
      <c r="I108" s="172">
        <v>0</v>
      </c>
      <c r="J108" s="403"/>
    </row>
    <row r="109" spans="1:10">
      <c r="A109" s="405"/>
      <c r="B109" s="383"/>
      <c r="C109" s="157">
        <v>0</v>
      </c>
      <c r="D109" s="160">
        <v>0</v>
      </c>
      <c r="E109" s="163">
        <v>0</v>
      </c>
      <c r="F109" s="387"/>
      <c r="G109" s="166">
        <v>0</v>
      </c>
      <c r="H109" s="169">
        <v>0</v>
      </c>
      <c r="I109" s="172">
        <v>0</v>
      </c>
      <c r="J109" s="403"/>
    </row>
    <row r="110" spans="1:10" ht="15.75" thickBot="1">
      <c r="A110" s="405"/>
      <c r="B110" s="383"/>
      <c r="C110" s="158">
        <v>0</v>
      </c>
      <c r="D110" s="161">
        <v>0</v>
      </c>
      <c r="E110" s="164">
        <v>0</v>
      </c>
      <c r="F110" s="407"/>
      <c r="G110" s="167">
        <v>0</v>
      </c>
      <c r="H110" s="170">
        <v>0</v>
      </c>
      <c r="I110" s="173">
        <v>0</v>
      </c>
      <c r="J110" s="404"/>
    </row>
    <row r="111" spans="1:10">
      <c r="A111" s="399" t="s">
        <v>68</v>
      </c>
      <c r="B111" s="406" t="s">
        <v>975</v>
      </c>
      <c r="C111" s="157">
        <v>0</v>
      </c>
      <c r="D111" s="160">
        <v>0</v>
      </c>
      <c r="E111" s="163">
        <v>0</v>
      </c>
      <c r="F111" s="387" t="s">
        <v>975</v>
      </c>
      <c r="G111" s="166">
        <v>0</v>
      </c>
      <c r="H111" s="169">
        <v>0</v>
      </c>
      <c r="I111" s="172">
        <v>0</v>
      </c>
      <c r="J111" s="403" t="str">
        <f>'LTE TRX route'!B25</f>
        <v>LTE_Band41</v>
      </c>
    </row>
    <row r="112" spans="1:10">
      <c r="A112" s="405"/>
      <c r="B112" s="383"/>
      <c r="C112" s="157">
        <v>0</v>
      </c>
      <c r="D112" s="160">
        <v>0</v>
      </c>
      <c r="E112" s="163">
        <v>0</v>
      </c>
      <c r="F112" s="387"/>
      <c r="G112" s="166">
        <v>0</v>
      </c>
      <c r="H112" s="169">
        <v>0</v>
      </c>
      <c r="I112" s="172">
        <v>0</v>
      </c>
      <c r="J112" s="403"/>
    </row>
    <row r="113" spans="1:10">
      <c r="A113" s="405"/>
      <c r="B113" s="383"/>
      <c r="C113" s="157">
        <v>0</v>
      </c>
      <c r="D113" s="160">
        <v>0</v>
      </c>
      <c r="E113" s="163">
        <v>0</v>
      </c>
      <c r="F113" s="387"/>
      <c r="G113" s="166">
        <v>0</v>
      </c>
      <c r="H113" s="169">
        <v>0</v>
      </c>
      <c r="I113" s="172">
        <v>0</v>
      </c>
      <c r="J113" s="403"/>
    </row>
    <row r="114" spans="1:10">
      <c r="A114" s="405"/>
      <c r="B114" s="383"/>
      <c r="C114" s="157">
        <v>0</v>
      </c>
      <c r="D114" s="160">
        <v>0</v>
      </c>
      <c r="E114" s="163">
        <v>0</v>
      </c>
      <c r="F114" s="387"/>
      <c r="G114" s="166">
        <v>0</v>
      </c>
      <c r="H114" s="169">
        <v>0</v>
      </c>
      <c r="I114" s="172">
        <v>0</v>
      </c>
      <c r="J114" s="403"/>
    </row>
    <row r="115" spans="1:10">
      <c r="A115" s="405"/>
      <c r="B115" s="383"/>
      <c r="C115" s="157">
        <v>0</v>
      </c>
      <c r="D115" s="160">
        <v>0</v>
      </c>
      <c r="E115" s="163">
        <v>0</v>
      </c>
      <c r="F115" s="387"/>
      <c r="G115" s="166">
        <v>0</v>
      </c>
      <c r="H115" s="169">
        <v>0</v>
      </c>
      <c r="I115" s="172">
        <v>0</v>
      </c>
      <c r="J115" s="403"/>
    </row>
    <row r="116" spans="1:10" ht="15.75" thickBot="1">
      <c r="A116" s="405"/>
      <c r="B116" s="383"/>
      <c r="C116" s="158">
        <v>0</v>
      </c>
      <c r="D116" s="161">
        <v>0</v>
      </c>
      <c r="E116" s="164">
        <v>0</v>
      </c>
      <c r="F116" s="407"/>
      <c r="G116" s="167">
        <v>0</v>
      </c>
      <c r="H116" s="170">
        <v>0</v>
      </c>
      <c r="I116" s="173">
        <v>0</v>
      </c>
      <c r="J116" s="403"/>
    </row>
    <row r="117" spans="1:10">
      <c r="A117" s="399" t="s">
        <v>69</v>
      </c>
      <c r="B117" s="406" t="s">
        <v>975</v>
      </c>
      <c r="C117" s="157">
        <v>0</v>
      </c>
      <c r="D117" s="160">
        <v>0</v>
      </c>
      <c r="E117" s="163">
        <v>0</v>
      </c>
      <c r="F117" s="387" t="s">
        <v>975</v>
      </c>
      <c r="G117" s="166">
        <v>0</v>
      </c>
      <c r="H117" s="169">
        <v>0</v>
      </c>
      <c r="I117" s="172">
        <v>0</v>
      </c>
      <c r="J117" s="402" t="str">
        <f>'LTE TRX route'!B26</f>
        <v>LTE_Band66</v>
      </c>
    </row>
    <row r="118" spans="1:10">
      <c r="A118" s="405"/>
      <c r="B118" s="383"/>
      <c r="C118" s="157">
        <v>0</v>
      </c>
      <c r="D118" s="160">
        <v>0</v>
      </c>
      <c r="E118" s="163">
        <v>0</v>
      </c>
      <c r="F118" s="387"/>
      <c r="G118" s="166">
        <v>0</v>
      </c>
      <c r="H118" s="169">
        <v>0</v>
      </c>
      <c r="I118" s="172">
        <v>0</v>
      </c>
      <c r="J118" s="403"/>
    </row>
    <row r="119" spans="1:10">
      <c r="A119" s="405"/>
      <c r="B119" s="383"/>
      <c r="C119" s="157">
        <v>0</v>
      </c>
      <c r="D119" s="160">
        <v>0</v>
      </c>
      <c r="E119" s="163">
        <v>0</v>
      </c>
      <c r="F119" s="387"/>
      <c r="G119" s="166">
        <v>0</v>
      </c>
      <c r="H119" s="169">
        <v>0</v>
      </c>
      <c r="I119" s="172">
        <v>0</v>
      </c>
      <c r="J119" s="403"/>
    </row>
    <row r="120" spans="1:10">
      <c r="A120" s="405"/>
      <c r="B120" s="383"/>
      <c r="C120" s="157">
        <v>0</v>
      </c>
      <c r="D120" s="160">
        <v>0</v>
      </c>
      <c r="E120" s="163">
        <v>0</v>
      </c>
      <c r="F120" s="387"/>
      <c r="G120" s="166">
        <v>0</v>
      </c>
      <c r="H120" s="169">
        <v>0</v>
      </c>
      <c r="I120" s="172">
        <v>0</v>
      </c>
      <c r="J120" s="403"/>
    </row>
    <row r="121" spans="1:10">
      <c r="A121" s="405"/>
      <c r="B121" s="383"/>
      <c r="C121" s="157">
        <v>0</v>
      </c>
      <c r="D121" s="160">
        <v>0</v>
      </c>
      <c r="E121" s="163">
        <v>0</v>
      </c>
      <c r="F121" s="387"/>
      <c r="G121" s="166">
        <v>0</v>
      </c>
      <c r="H121" s="169">
        <v>0</v>
      </c>
      <c r="I121" s="172">
        <v>0</v>
      </c>
      <c r="J121" s="403"/>
    </row>
    <row r="122" spans="1:10" ht="15.75" thickBot="1">
      <c r="A122" s="405"/>
      <c r="B122" s="383"/>
      <c r="C122" s="158">
        <v>0</v>
      </c>
      <c r="D122" s="161">
        <v>0</v>
      </c>
      <c r="E122" s="164">
        <v>0</v>
      </c>
      <c r="F122" s="407"/>
      <c r="G122" s="167">
        <v>0</v>
      </c>
      <c r="H122" s="170">
        <v>0</v>
      </c>
      <c r="I122" s="173">
        <v>0</v>
      </c>
      <c r="J122" s="404"/>
    </row>
    <row r="123" spans="1:10">
      <c r="A123" s="399" t="s">
        <v>70</v>
      </c>
      <c r="B123" s="406" t="s">
        <v>975</v>
      </c>
      <c r="C123" s="157">
        <v>0</v>
      </c>
      <c r="D123" s="160">
        <v>0</v>
      </c>
      <c r="E123" s="163">
        <v>0</v>
      </c>
      <c r="F123" s="387" t="s">
        <v>975</v>
      </c>
      <c r="G123" s="166">
        <v>0</v>
      </c>
      <c r="H123" s="169">
        <v>0</v>
      </c>
      <c r="I123" s="172">
        <v>0</v>
      </c>
      <c r="J123" s="402" t="str">
        <f>'LTE TRX route'!B27</f>
        <v>LTE_Band71</v>
      </c>
    </row>
    <row r="124" spans="1:10">
      <c r="A124" s="405"/>
      <c r="B124" s="387"/>
      <c r="C124" s="157">
        <v>0</v>
      </c>
      <c r="D124" s="160">
        <v>0</v>
      </c>
      <c r="E124" s="163">
        <v>0</v>
      </c>
      <c r="F124" s="387"/>
      <c r="G124" s="166">
        <v>0</v>
      </c>
      <c r="H124" s="169">
        <v>0</v>
      </c>
      <c r="I124" s="172">
        <v>0</v>
      </c>
      <c r="J124" s="403"/>
    </row>
    <row r="125" spans="1:10">
      <c r="A125" s="405"/>
      <c r="B125" s="387"/>
      <c r="C125" s="157">
        <v>0</v>
      </c>
      <c r="D125" s="160">
        <v>0</v>
      </c>
      <c r="E125" s="163">
        <v>0</v>
      </c>
      <c r="F125" s="387"/>
      <c r="G125" s="166">
        <v>0</v>
      </c>
      <c r="H125" s="169">
        <v>0</v>
      </c>
      <c r="I125" s="172">
        <v>0</v>
      </c>
      <c r="J125" s="403"/>
    </row>
    <row r="126" spans="1:10">
      <c r="A126" s="405"/>
      <c r="B126" s="387"/>
      <c r="C126" s="157">
        <v>0</v>
      </c>
      <c r="D126" s="160">
        <v>0</v>
      </c>
      <c r="E126" s="163">
        <v>0</v>
      </c>
      <c r="F126" s="387"/>
      <c r="G126" s="166">
        <v>0</v>
      </c>
      <c r="H126" s="169">
        <v>0</v>
      </c>
      <c r="I126" s="172">
        <v>0</v>
      </c>
      <c r="J126" s="403"/>
    </row>
    <row r="127" spans="1:10">
      <c r="A127" s="405"/>
      <c r="B127" s="387"/>
      <c r="C127" s="157">
        <v>0</v>
      </c>
      <c r="D127" s="160">
        <v>0</v>
      </c>
      <c r="E127" s="163">
        <v>0</v>
      </c>
      <c r="F127" s="387"/>
      <c r="G127" s="166">
        <v>0</v>
      </c>
      <c r="H127" s="169">
        <v>0</v>
      </c>
      <c r="I127" s="172">
        <v>0</v>
      </c>
      <c r="J127" s="403"/>
    </row>
    <row r="128" spans="1:10" ht="15.75" thickBot="1">
      <c r="A128" s="405"/>
      <c r="B128" s="407"/>
      <c r="C128" s="158">
        <v>0</v>
      </c>
      <c r="D128" s="161">
        <v>0</v>
      </c>
      <c r="E128" s="164">
        <v>0</v>
      </c>
      <c r="F128" s="407"/>
      <c r="G128" s="167">
        <v>0</v>
      </c>
      <c r="H128" s="170">
        <v>0</v>
      </c>
      <c r="I128" s="173">
        <v>0</v>
      </c>
      <c r="J128" s="404"/>
    </row>
    <row r="129" spans="1:10">
      <c r="A129" s="399" t="s">
        <v>71</v>
      </c>
      <c r="B129" s="387" t="s">
        <v>975</v>
      </c>
      <c r="C129" s="157">
        <v>0</v>
      </c>
      <c r="D129" s="160">
        <v>0</v>
      </c>
      <c r="E129" s="163">
        <v>0</v>
      </c>
      <c r="F129" s="387" t="s">
        <v>975</v>
      </c>
      <c r="G129" s="166">
        <v>0</v>
      </c>
      <c r="H129" s="169">
        <v>0</v>
      </c>
      <c r="I129" s="172">
        <v>0</v>
      </c>
      <c r="J129" s="403" t="str">
        <f>'LTE TRX route'!B28</f>
        <v>LTE_BandNone</v>
      </c>
    </row>
    <row r="130" spans="1:10">
      <c r="A130" s="405"/>
      <c r="B130" s="383"/>
      <c r="C130" s="157">
        <v>0</v>
      </c>
      <c r="D130" s="160">
        <v>0</v>
      </c>
      <c r="E130" s="163">
        <v>0</v>
      </c>
      <c r="F130" s="387"/>
      <c r="G130" s="166">
        <v>0</v>
      </c>
      <c r="H130" s="169">
        <v>0</v>
      </c>
      <c r="I130" s="172">
        <v>0</v>
      </c>
      <c r="J130" s="403"/>
    </row>
    <row r="131" spans="1:10">
      <c r="A131" s="405"/>
      <c r="B131" s="383"/>
      <c r="C131" s="157">
        <v>0</v>
      </c>
      <c r="D131" s="160">
        <v>0</v>
      </c>
      <c r="E131" s="163">
        <v>0</v>
      </c>
      <c r="F131" s="387"/>
      <c r="G131" s="166">
        <v>0</v>
      </c>
      <c r="H131" s="169">
        <v>0</v>
      </c>
      <c r="I131" s="172">
        <v>0</v>
      </c>
      <c r="J131" s="403"/>
    </row>
    <row r="132" spans="1:10">
      <c r="A132" s="405"/>
      <c r="B132" s="383"/>
      <c r="C132" s="157">
        <v>0</v>
      </c>
      <c r="D132" s="160">
        <v>0</v>
      </c>
      <c r="E132" s="163">
        <v>0</v>
      </c>
      <c r="F132" s="387"/>
      <c r="G132" s="166">
        <v>0</v>
      </c>
      <c r="H132" s="169">
        <v>0</v>
      </c>
      <c r="I132" s="172">
        <v>0</v>
      </c>
      <c r="J132" s="403"/>
    </row>
    <row r="133" spans="1:10">
      <c r="A133" s="405"/>
      <c r="B133" s="383"/>
      <c r="C133" s="157">
        <v>0</v>
      </c>
      <c r="D133" s="160">
        <v>0</v>
      </c>
      <c r="E133" s="163">
        <v>0</v>
      </c>
      <c r="F133" s="387"/>
      <c r="G133" s="166">
        <v>0</v>
      </c>
      <c r="H133" s="169">
        <v>0</v>
      </c>
      <c r="I133" s="172">
        <v>0</v>
      </c>
      <c r="J133" s="403"/>
    </row>
    <row r="134" spans="1:10" ht="15.75" thickBot="1">
      <c r="A134" s="405"/>
      <c r="B134" s="383"/>
      <c r="C134" s="158">
        <v>0</v>
      </c>
      <c r="D134" s="161">
        <v>0</v>
      </c>
      <c r="E134" s="164">
        <v>0</v>
      </c>
      <c r="F134" s="407"/>
      <c r="G134" s="167">
        <v>0</v>
      </c>
      <c r="H134" s="170">
        <v>0</v>
      </c>
      <c r="I134" s="173">
        <v>0</v>
      </c>
      <c r="J134" s="404"/>
    </row>
    <row r="135" spans="1:10">
      <c r="A135" s="399" t="s">
        <v>72</v>
      </c>
      <c r="B135" s="406" t="s">
        <v>975</v>
      </c>
      <c r="C135" s="157">
        <v>0</v>
      </c>
      <c r="D135" s="160">
        <v>0</v>
      </c>
      <c r="E135" s="163">
        <v>0</v>
      </c>
      <c r="F135" s="387" t="s">
        <v>975</v>
      </c>
      <c r="G135" s="166">
        <v>0</v>
      </c>
      <c r="H135" s="169">
        <v>0</v>
      </c>
      <c r="I135" s="172">
        <v>0</v>
      </c>
      <c r="J135" s="403" t="str">
        <f>'LTE TRX route'!B29</f>
        <v>LTE_BandNone</v>
      </c>
    </row>
    <row r="136" spans="1:10">
      <c r="A136" s="405"/>
      <c r="B136" s="383"/>
      <c r="C136" s="157">
        <v>0</v>
      </c>
      <c r="D136" s="160">
        <v>0</v>
      </c>
      <c r="E136" s="163">
        <v>0</v>
      </c>
      <c r="F136" s="387"/>
      <c r="G136" s="166">
        <v>0</v>
      </c>
      <c r="H136" s="169">
        <v>0</v>
      </c>
      <c r="I136" s="172">
        <v>0</v>
      </c>
      <c r="J136" s="403"/>
    </row>
    <row r="137" spans="1:10">
      <c r="A137" s="405"/>
      <c r="B137" s="383"/>
      <c r="C137" s="157">
        <v>0</v>
      </c>
      <c r="D137" s="160">
        <v>0</v>
      </c>
      <c r="E137" s="163">
        <v>0</v>
      </c>
      <c r="F137" s="387"/>
      <c r="G137" s="166">
        <v>0</v>
      </c>
      <c r="H137" s="169">
        <v>0</v>
      </c>
      <c r="I137" s="172">
        <v>0</v>
      </c>
      <c r="J137" s="403"/>
    </row>
    <row r="138" spans="1:10">
      <c r="A138" s="405"/>
      <c r="B138" s="383"/>
      <c r="C138" s="157">
        <v>0</v>
      </c>
      <c r="D138" s="160">
        <v>0</v>
      </c>
      <c r="E138" s="163">
        <v>0</v>
      </c>
      <c r="F138" s="387"/>
      <c r="G138" s="166">
        <v>0</v>
      </c>
      <c r="H138" s="169">
        <v>0</v>
      </c>
      <c r="I138" s="172">
        <v>0</v>
      </c>
      <c r="J138" s="403"/>
    </row>
    <row r="139" spans="1:10">
      <c r="A139" s="405"/>
      <c r="B139" s="383"/>
      <c r="C139" s="157">
        <v>0</v>
      </c>
      <c r="D139" s="160">
        <v>0</v>
      </c>
      <c r="E139" s="163">
        <v>0</v>
      </c>
      <c r="F139" s="387"/>
      <c r="G139" s="166">
        <v>0</v>
      </c>
      <c r="H139" s="169">
        <v>0</v>
      </c>
      <c r="I139" s="172">
        <v>0</v>
      </c>
      <c r="J139" s="403"/>
    </row>
    <row r="140" spans="1:10" ht="15.75" thickBot="1">
      <c r="A140" s="405"/>
      <c r="B140" s="383"/>
      <c r="C140" s="158">
        <v>0</v>
      </c>
      <c r="D140" s="161">
        <v>0</v>
      </c>
      <c r="E140" s="164">
        <v>0</v>
      </c>
      <c r="F140" s="407"/>
      <c r="G140" s="167">
        <v>0</v>
      </c>
      <c r="H140" s="170">
        <v>0</v>
      </c>
      <c r="I140" s="173">
        <v>0</v>
      </c>
      <c r="J140" s="404"/>
    </row>
    <row r="141" spans="1:10">
      <c r="A141" s="399" t="s">
        <v>73</v>
      </c>
      <c r="B141" s="406" t="s">
        <v>975</v>
      </c>
      <c r="C141" s="157">
        <v>0</v>
      </c>
      <c r="D141" s="160">
        <v>0</v>
      </c>
      <c r="E141" s="163">
        <v>0</v>
      </c>
      <c r="F141" s="387" t="s">
        <v>975</v>
      </c>
      <c r="G141" s="166">
        <v>0</v>
      </c>
      <c r="H141" s="169">
        <v>0</v>
      </c>
      <c r="I141" s="172">
        <v>0</v>
      </c>
      <c r="J141" s="403" t="str">
        <f>'LTE TRX route'!B30</f>
        <v>LTE_BandNone</v>
      </c>
    </row>
    <row r="142" spans="1:10">
      <c r="A142" s="405"/>
      <c r="B142" s="383"/>
      <c r="C142" s="157">
        <v>0</v>
      </c>
      <c r="D142" s="160">
        <v>0</v>
      </c>
      <c r="E142" s="163">
        <v>0</v>
      </c>
      <c r="F142" s="387"/>
      <c r="G142" s="166">
        <v>0</v>
      </c>
      <c r="H142" s="169">
        <v>0</v>
      </c>
      <c r="I142" s="172">
        <v>0</v>
      </c>
      <c r="J142" s="403"/>
    </row>
    <row r="143" spans="1:10">
      <c r="A143" s="405"/>
      <c r="B143" s="383"/>
      <c r="C143" s="157">
        <v>0</v>
      </c>
      <c r="D143" s="160">
        <v>0</v>
      </c>
      <c r="E143" s="163">
        <v>0</v>
      </c>
      <c r="F143" s="387"/>
      <c r="G143" s="166">
        <v>0</v>
      </c>
      <c r="H143" s="169">
        <v>0</v>
      </c>
      <c r="I143" s="172">
        <v>0</v>
      </c>
      <c r="J143" s="403"/>
    </row>
    <row r="144" spans="1:10">
      <c r="A144" s="405"/>
      <c r="B144" s="383"/>
      <c r="C144" s="157">
        <v>0</v>
      </c>
      <c r="D144" s="160">
        <v>0</v>
      </c>
      <c r="E144" s="163">
        <v>0</v>
      </c>
      <c r="F144" s="387"/>
      <c r="G144" s="166">
        <v>0</v>
      </c>
      <c r="H144" s="169">
        <v>0</v>
      </c>
      <c r="I144" s="172">
        <v>0</v>
      </c>
      <c r="J144" s="403"/>
    </row>
    <row r="145" spans="1:10">
      <c r="A145" s="405"/>
      <c r="B145" s="383"/>
      <c r="C145" s="157">
        <v>0</v>
      </c>
      <c r="D145" s="160">
        <v>0</v>
      </c>
      <c r="E145" s="163">
        <v>0</v>
      </c>
      <c r="F145" s="387"/>
      <c r="G145" s="166">
        <v>0</v>
      </c>
      <c r="H145" s="169">
        <v>0</v>
      </c>
      <c r="I145" s="172">
        <v>0</v>
      </c>
      <c r="J145" s="403"/>
    </row>
    <row r="146" spans="1:10" ht="15.75" thickBot="1">
      <c r="A146" s="405"/>
      <c r="B146" s="383"/>
      <c r="C146" s="158">
        <v>0</v>
      </c>
      <c r="D146" s="161">
        <v>0</v>
      </c>
      <c r="E146" s="164">
        <v>0</v>
      </c>
      <c r="F146" s="407"/>
      <c r="G146" s="167">
        <v>0</v>
      </c>
      <c r="H146" s="170">
        <v>0</v>
      </c>
      <c r="I146" s="173">
        <v>0</v>
      </c>
      <c r="J146" s="403"/>
    </row>
    <row r="147" spans="1:10">
      <c r="A147" s="399" t="s">
        <v>74</v>
      </c>
      <c r="B147" s="406" t="s">
        <v>975</v>
      </c>
      <c r="C147" s="157">
        <v>0</v>
      </c>
      <c r="D147" s="160">
        <v>0</v>
      </c>
      <c r="E147" s="163">
        <v>0</v>
      </c>
      <c r="F147" s="387" t="s">
        <v>975</v>
      </c>
      <c r="G147" s="166">
        <v>0</v>
      </c>
      <c r="H147" s="169">
        <v>0</v>
      </c>
      <c r="I147" s="172">
        <v>0</v>
      </c>
      <c r="J147" s="402" t="str">
        <f>'LTE TRX route'!B31</f>
        <v>LTE_BandNone</v>
      </c>
    </row>
    <row r="148" spans="1:10">
      <c r="A148" s="405"/>
      <c r="B148" s="383"/>
      <c r="C148" s="157">
        <v>0</v>
      </c>
      <c r="D148" s="160">
        <v>0</v>
      </c>
      <c r="E148" s="163">
        <v>0</v>
      </c>
      <c r="F148" s="387"/>
      <c r="G148" s="166">
        <v>0</v>
      </c>
      <c r="H148" s="169">
        <v>0</v>
      </c>
      <c r="I148" s="172">
        <v>0</v>
      </c>
      <c r="J148" s="403"/>
    </row>
    <row r="149" spans="1:10">
      <c r="A149" s="405"/>
      <c r="B149" s="383"/>
      <c r="C149" s="157">
        <v>0</v>
      </c>
      <c r="D149" s="160">
        <v>0</v>
      </c>
      <c r="E149" s="163">
        <v>0</v>
      </c>
      <c r="F149" s="387"/>
      <c r="G149" s="166">
        <v>0</v>
      </c>
      <c r="H149" s="169">
        <v>0</v>
      </c>
      <c r="I149" s="172">
        <v>0</v>
      </c>
      <c r="J149" s="403"/>
    </row>
    <row r="150" spans="1:10">
      <c r="A150" s="405"/>
      <c r="B150" s="383"/>
      <c r="C150" s="157">
        <v>0</v>
      </c>
      <c r="D150" s="160">
        <v>0</v>
      </c>
      <c r="E150" s="163">
        <v>0</v>
      </c>
      <c r="F150" s="387"/>
      <c r="G150" s="166">
        <v>0</v>
      </c>
      <c r="H150" s="169">
        <v>0</v>
      </c>
      <c r="I150" s="172">
        <v>0</v>
      </c>
      <c r="J150" s="403"/>
    </row>
    <row r="151" spans="1:10">
      <c r="A151" s="405"/>
      <c r="B151" s="383"/>
      <c r="C151" s="157">
        <v>0</v>
      </c>
      <c r="D151" s="160">
        <v>0</v>
      </c>
      <c r="E151" s="163">
        <v>0</v>
      </c>
      <c r="F151" s="387"/>
      <c r="G151" s="166">
        <v>0</v>
      </c>
      <c r="H151" s="169">
        <v>0</v>
      </c>
      <c r="I151" s="172">
        <v>0</v>
      </c>
      <c r="J151" s="403"/>
    </row>
    <row r="152" spans="1:10" ht="15.75" thickBot="1">
      <c r="A152" s="405"/>
      <c r="B152" s="383"/>
      <c r="C152" s="158">
        <v>0</v>
      </c>
      <c r="D152" s="161">
        <v>0</v>
      </c>
      <c r="E152" s="164">
        <v>0</v>
      </c>
      <c r="F152" s="407"/>
      <c r="G152" s="167">
        <v>0</v>
      </c>
      <c r="H152" s="170">
        <v>0</v>
      </c>
      <c r="I152" s="173">
        <v>0</v>
      </c>
      <c r="J152" s="404"/>
    </row>
    <row r="153" spans="1:10">
      <c r="A153" s="399" t="s">
        <v>75</v>
      </c>
      <c r="B153" s="406" t="s">
        <v>975</v>
      </c>
      <c r="C153" s="157">
        <v>0</v>
      </c>
      <c r="D153" s="160">
        <v>0</v>
      </c>
      <c r="E153" s="163">
        <v>0</v>
      </c>
      <c r="F153" s="387" t="s">
        <v>975</v>
      </c>
      <c r="G153" s="166">
        <v>0</v>
      </c>
      <c r="H153" s="169">
        <v>0</v>
      </c>
      <c r="I153" s="172">
        <v>0</v>
      </c>
      <c r="J153" s="402" t="str">
        <f>'LTE TRX route'!B32</f>
        <v>LTE_BandNone</v>
      </c>
    </row>
    <row r="154" spans="1:10">
      <c r="A154" s="405"/>
      <c r="B154" s="383"/>
      <c r="C154" s="157">
        <v>0</v>
      </c>
      <c r="D154" s="160">
        <v>0</v>
      </c>
      <c r="E154" s="163">
        <v>0</v>
      </c>
      <c r="F154" s="387"/>
      <c r="G154" s="166">
        <v>0</v>
      </c>
      <c r="H154" s="169">
        <v>0</v>
      </c>
      <c r="I154" s="172">
        <v>0</v>
      </c>
      <c r="J154" s="403"/>
    </row>
    <row r="155" spans="1:10">
      <c r="A155" s="405"/>
      <c r="B155" s="383"/>
      <c r="C155" s="157">
        <v>0</v>
      </c>
      <c r="D155" s="160">
        <v>0</v>
      </c>
      <c r="E155" s="163">
        <v>0</v>
      </c>
      <c r="F155" s="387"/>
      <c r="G155" s="166">
        <v>0</v>
      </c>
      <c r="H155" s="169">
        <v>0</v>
      </c>
      <c r="I155" s="172">
        <v>0</v>
      </c>
      <c r="J155" s="403"/>
    </row>
    <row r="156" spans="1:10">
      <c r="A156" s="405"/>
      <c r="B156" s="383"/>
      <c r="C156" s="157">
        <v>0</v>
      </c>
      <c r="D156" s="160">
        <v>0</v>
      </c>
      <c r="E156" s="163">
        <v>0</v>
      </c>
      <c r="F156" s="387"/>
      <c r="G156" s="166">
        <v>0</v>
      </c>
      <c r="H156" s="169">
        <v>0</v>
      </c>
      <c r="I156" s="172">
        <v>0</v>
      </c>
      <c r="J156" s="403"/>
    </row>
    <row r="157" spans="1:10">
      <c r="A157" s="405"/>
      <c r="B157" s="383"/>
      <c r="C157" s="157">
        <v>0</v>
      </c>
      <c r="D157" s="160">
        <v>0</v>
      </c>
      <c r="E157" s="163">
        <v>0</v>
      </c>
      <c r="F157" s="387"/>
      <c r="G157" s="166">
        <v>0</v>
      </c>
      <c r="H157" s="169">
        <v>0</v>
      </c>
      <c r="I157" s="172">
        <v>0</v>
      </c>
      <c r="J157" s="403"/>
    </row>
    <row r="158" spans="1:10" ht="15.75" thickBot="1">
      <c r="A158" s="405"/>
      <c r="B158" s="383"/>
      <c r="C158" s="158">
        <v>0</v>
      </c>
      <c r="D158" s="161">
        <v>0</v>
      </c>
      <c r="E158" s="164">
        <v>0</v>
      </c>
      <c r="F158" s="407"/>
      <c r="G158" s="167">
        <v>0</v>
      </c>
      <c r="H158" s="170">
        <v>0</v>
      </c>
      <c r="I158" s="173">
        <v>0</v>
      </c>
      <c r="J158" s="404"/>
    </row>
    <row r="159" spans="1:10">
      <c r="A159" s="399" t="s">
        <v>76</v>
      </c>
      <c r="B159" s="406" t="s">
        <v>975</v>
      </c>
      <c r="C159" s="157">
        <v>0</v>
      </c>
      <c r="D159" s="160">
        <v>0</v>
      </c>
      <c r="E159" s="163">
        <v>0</v>
      </c>
      <c r="F159" s="387" t="s">
        <v>975</v>
      </c>
      <c r="G159" s="166">
        <v>0</v>
      </c>
      <c r="H159" s="169">
        <v>0</v>
      </c>
      <c r="I159" s="172">
        <v>0</v>
      </c>
      <c r="J159" s="402" t="str">
        <f>'LTE TRX route'!B33</f>
        <v>LTE_BandNone</v>
      </c>
    </row>
    <row r="160" spans="1:10">
      <c r="A160" s="405"/>
      <c r="B160" s="383"/>
      <c r="C160" s="157">
        <v>0</v>
      </c>
      <c r="D160" s="160">
        <v>0</v>
      </c>
      <c r="E160" s="163">
        <v>0</v>
      </c>
      <c r="F160" s="387"/>
      <c r="G160" s="166">
        <v>0</v>
      </c>
      <c r="H160" s="169">
        <v>0</v>
      </c>
      <c r="I160" s="172">
        <v>0</v>
      </c>
      <c r="J160" s="403"/>
    </row>
    <row r="161" spans="1:11">
      <c r="A161" s="405"/>
      <c r="B161" s="383"/>
      <c r="C161" s="157">
        <v>0</v>
      </c>
      <c r="D161" s="160">
        <v>0</v>
      </c>
      <c r="E161" s="163">
        <v>0</v>
      </c>
      <c r="F161" s="387"/>
      <c r="G161" s="166">
        <v>0</v>
      </c>
      <c r="H161" s="169">
        <v>0</v>
      </c>
      <c r="I161" s="172">
        <v>0</v>
      </c>
      <c r="J161" s="403"/>
    </row>
    <row r="162" spans="1:11">
      <c r="A162" s="405"/>
      <c r="B162" s="383"/>
      <c r="C162" s="157">
        <v>0</v>
      </c>
      <c r="D162" s="160">
        <v>0</v>
      </c>
      <c r="E162" s="163">
        <v>0</v>
      </c>
      <c r="F162" s="387"/>
      <c r="G162" s="166">
        <v>0</v>
      </c>
      <c r="H162" s="169">
        <v>0</v>
      </c>
      <c r="I162" s="172">
        <v>0</v>
      </c>
      <c r="J162" s="403"/>
    </row>
    <row r="163" spans="1:11">
      <c r="A163" s="405"/>
      <c r="B163" s="383"/>
      <c r="C163" s="157">
        <v>0</v>
      </c>
      <c r="D163" s="160">
        <v>0</v>
      </c>
      <c r="E163" s="163">
        <v>0</v>
      </c>
      <c r="F163" s="387"/>
      <c r="G163" s="166">
        <v>0</v>
      </c>
      <c r="H163" s="169">
        <v>0</v>
      </c>
      <c r="I163" s="172">
        <v>0</v>
      </c>
      <c r="J163" s="403"/>
    </row>
    <row r="164" spans="1:11" ht="15.75" thickBot="1">
      <c r="A164" s="405"/>
      <c r="B164" s="383"/>
      <c r="C164" s="158">
        <v>0</v>
      </c>
      <c r="D164" s="161">
        <v>0</v>
      </c>
      <c r="E164" s="164">
        <v>0</v>
      </c>
      <c r="F164" s="407"/>
      <c r="G164" s="167">
        <v>0</v>
      </c>
      <c r="H164" s="170">
        <v>0</v>
      </c>
      <c r="I164" s="173">
        <v>0</v>
      </c>
      <c r="J164" s="404"/>
    </row>
    <row r="165" spans="1:11">
      <c r="A165" s="399" t="s">
        <v>77</v>
      </c>
      <c r="B165" s="406" t="s">
        <v>975</v>
      </c>
      <c r="C165" s="157">
        <v>0</v>
      </c>
      <c r="D165" s="160">
        <v>0</v>
      </c>
      <c r="E165" s="163">
        <v>0</v>
      </c>
      <c r="F165" s="387" t="s">
        <v>975</v>
      </c>
      <c r="G165" s="166">
        <v>0</v>
      </c>
      <c r="H165" s="169">
        <v>0</v>
      </c>
      <c r="I165" s="172">
        <v>0</v>
      </c>
      <c r="J165" s="402" t="str">
        <f>'LTE TRX route'!B34</f>
        <v>LTE_BandNone</v>
      </c>
    </row>
    <row r="166" spans="1:11">
      <c r="A166" s="405"/>
      <c r="B166" s="383"/>
      <c r="C166" s="157">
        <v>0</v>
      </c>
      <c r="D166" s="160">
        <v>0</v>
      </c>
      <c r="E166" s="163">
        <v>0</v>
      </c>
      <c r="F166" s="383"/>
      <c r="G166" s="166">
        <v>0</v>
      </c>
      <c r="H166" s="169">
        <v>0</v>
      </c>
      <c r="I166" s="172">
        <v>0</v>
      </c>
      <c r="J166" s="403"/>
    </row>
    <row r="167" spans="1:11">
      <c r="A167" s="405"/>
      <c r="B167" s="383"/>
      <c r="C167" s="157">
        <v>0</v>
      </c>
      <c r="D167" s="160">
        <v>0</v>
      </c>
      <c r="E167" s="163">
        <v>0</v>
      </c>
      <c r="F167" s="383"/>
      <c r="G167" s="166">
        <v>0</v>
      </c>
      <c r="H167" s="169">
        <v>0</v>
      </c>
      <c r="I167" s="172">
        <v>0</v>
      </c>
      <c r="J167" s="403"/>
    </row>
    <row r="168" spans="1:11">
      <c r="A168" s="405"/>
      <c r="B168" s="383"/>
      <c r="C168" s="157">
        <v>0</v>
      </c>
      <c r="D168" s="160">
        <v>0</v>
      </c>
      <c r="E168" s="163">
        <v>0</v>
      </c>
      <c r="F168" s="383"/>
      <c r="G168" s="166">
        <v>0</v>
      </c>
      <c r="H168" s="169">
        <v>0</v>
      </c>
      <c r="I168" s="172">
        <v>0</v>
      </c>
      <c r="J168" s="403"/>
    </row>
    <row r="169" spans="1:11">
      <c r="A169" s="405"/>
      <c r="B169" s="383"/>
      <c r="C169" s="157">
        <v>0</v>
      </c>
      <c r="D169" s="160">
        <v>0</v>
      </c>
      <c r="E169" s="163">
        <v>0</v>
      </c>
      <c r="F169" s="383"/>
      <c r="G169" s="166">
        <v>0</v>
      </c>
      <c r="H169" s="169">
        <v>0</v>
      </c>
      <c r="I169" s="172">
        <v>0</v>
      </c>
      <c r="J169" s="403"/>
    </row>
    <row r="170" spans="1:11" ht="15.75" thickBot="1">
      <c r="A170" s="405"/>
      <c r="B170" s="383"/>
      <c r="C170" s="159">
        <v>0</v>
      </c>
      <c r="D170" s="162">
        <v>0</v>
      </c>
      <c r="E170" s="165">
        <v>0</v>
      </c>
      <c r="F170" s="383"/>
      <c r="G170" s="168">
        <v>0</v>
      </c>
      <c r="H170" s="171">
        <v>0</v>
      </c>
      <c r="I170" s="174">
        <v>0</v>
      </c>
      <c r="J170" s="404"/>
    </row>
    <row r="171" spans="1:11" ht="15.75" thickBot="1">
      <c r="A171" s="120" t="s">
        <v>1014</v>
      </c>
      <c r="B171" s="120" t="s">
        <v>1006</v>
      </c>
      <c r="C171" s="121" t="s">
        <v>1007</v>
      </c>
      <c r="D171" s="121" t="s">
        <v>1008</v>
      </c>
      <c r="E171" s="121" t="s">
        <v>1009</v>
      </c>
      <c r="F171" s="120" t="s">
        <v>1010</v>
      </c>
      <c r="G171" s="121" t="s">
        <v>1011</v>
      </c>
      <c r="H171" s="121" t="s">
        <v>1012</v>
      </c>
      <c r="I171" s="121" t="s">
        <v>1013</v>
      </c>
      <c r="J171" s="122" t="s">
        <v>289</v>
      </c>
      <c r="K171" s="123"/>
    </row>
    <row r="172" spans="1:11">
      <c r="A172" s="399" t="s">
        <v>432</v>
      </c>
      <c r="B172" s="406" t="s">
        <v>975</v>
      </c>
      <c r="C172" s="175">
        <v>0</v>
      </c>
      <c r="D172" s="177">
        <v>0</v>
      </c>
      <c r="E172" s="179">
        <v>0</v>
      </c>
      <c r="F172" s="406" t="s">
        <v>975</v>
      </c>
      <c r="G172" s="181">
        <v>0</v>
      </c>
      <c r="H172" s="183">
        <v>0</v>
      </c>
      <c r="I172" s="185">
        <v>0</v>
      </c>
      <c r="J172" s="403" t="s">
        <v>15</v>
      </c>
    </row>
    <row r="173" spans="1:11">
      <c r="A173" s="405"/>
      <c r="B173" s="387"/>
      <c r="C173" s="175">
        <v>0</v>
      </c>
      <c r="D173" s="177">
        <v>0</v>
      </c>
      <c r="E173" s="179">
        <v>0</v>
      </c>
      <c r="F173" s="387"/>
      <c r="G173" s="181">
        <v>0</v>
      </c>
      <c r="H173" s="183">
        <v>0</v>
      </c>
      <c r="I173" s="185">
        <v>0</v>
      </c>
      <c r="J173" s="403"/>
    </row>
    <row r="174" spans="1:11">
      <c r="A174" s="405"/>
      <c r="B174" s="387"/>
      <c r="C174" s="175">
        <v>0</v>
      </c>
      <c r="D174" s="177">
        <v>0</v>
      </c>
      <c r="E174" s="179">
        <v>0</v>
      </c>
      <c r="F174" s="387"/>
      <c r="G174" s="181">
        <v>0</v>
      </c>
      <c r="H174" s="183">
        <v>0</v>
      </c>
      <c r="I174" s="185">
        <v>0</v>
      </c>
      <c r="J174" s="403"/>
    </row>
    <row r="175" spans="1:11">
      <c r="A175" s="405"/>
      <c r="B175" s="387"/>
      <c r="C175" s="175">
        <v>0</v>
      </c>
      <c r="D175" s="177">
        <v>0</v>
      </c>
      <c r="E175" s="179">
        <v>0</v>
      </c>
      <c r="F175" s="387"/>
      <c r="G175" s="181">
        <v>0</v>
      </c>
      <c r="H175" s="183">
        <v>0</v>
      </c>
      <c r="I175" s="185">
        <v>0</v>
      </c>
      <c r="J175" s="403"/>
    </row>
    <row r="176" spans="1:11">
      <c r="A176" s="405"/>
      <c r="B176" s="387"/>
      <c r="C176" s="175">
        <v>0</v>
      </c>
      <c r="D176" s="177">
        <v>0</v>
      </c>
      <c r="E176" s="179">
        <v>0</v>
      </c>
      <c r="F176" s="387"/>
      <c r="G176" s="181">
        <v>0</v>
      </c>
      <c r="H176" s="183">
        <v>0</v>
      </c>
      <c r="I176" s="185">
        <v>0</v>
      </c>
      <c r="J176" s="403"/>
    </row>
    <row r="177" spans="1:10" ht="15.75" thickBot="1">
      <c r="A177" s="405"/>
      <c r="B177" s="407"/>
      <c r="C177" s="176">
        <v>0</v>
      </c>
      <c r="D177" s="178">
        <v>0</v>
      </c>
      <c r="E177" s="180">
        <v>0</v>
      </c>
      <c r="F177" s="407"/>
      <c r="G177" s="182">
        <v>0</v>
      </c>
      <c r="H177" s="184">
        <v>0</v>
      </c>
      <c r="I177" s="186">
        <v>0</v>
      </c>
      <c r="J177" s="403"/>
    </row>
    <row r="178" spans="1:10">
      <c r="A178" s="399" t="s">
        <v>433</v>
      </c>
      <c r="B178" s="387" t="s">
        <v>975</v>
      </c>
      <c r="C178" s="175">
        <v>0</v>
      </c>
      <c r="D178" s="177">
        <v>0</v>
      </c>
      <c r="E178" s="179">
        <v>0</v>
      </c>
      <c r="F178" s="387" t="s">
        <v>975</v>
      </c>
      <c r="G178" s="181">
        <v>0</v>
      </c>
      <c r="H178" s="183">
        <v>0</v>
      </c>
      <c r="I178" s="185">
        <v>0</v>
      </c>
      <c r="J178" s="402" t="s">
        <v>15</v>
      </c>
    </row>
    <row r="179" spans="1:10">
      <c r="A179" s="405"/>
      <c r="B179" s="387"/>
      <c r="C179" s="175">
        <v>0</v>
      </c>
      <c r="D179" s="177">
        <v>0</v>
      </c>
      <c r="E179" s="179">
        <v>0</v>
      </c>
      <c r="F179" s="387"/>
      <c r="G179" s="181">
        <v>0</v>
      </c>
      <c r="H179" s="183">
        <v>0</v>
      </c>
      <c r="I179" s="185">
        <v>0</v>
      </c>
      <c r="J179" s="403"/>
    </row>
    <row r="180" spans="1:10">
      <c r="A180" s="405"/>
      <c r="B180" s="387"/>
      <c r="C180" s="175">
        <v>0</v>
      </c>
      <c r="D180" s="177">
        <v>0</v>
      </c>
      <c r="E180" s="179">
        <v>0</v>
      </c>
      <c r="F180" s="387"/>
      <c r="G180" s="181">
        <v>0</v>
      </c>
      <c r="H180" s="183">
        <v>0</v>
      </c>
      <c r="I180" s="185">
        <v>0</v>
      </c>
      <c r="J180" s="403"/>
    </row>
    <row r="181" spans="1:10">
      <c r="A181" s="405"/>
      <c r="B181" s="387"/>
      <c r="C181" s="175">
        <v>0</v>
      </c>
      <c r="D181" s="177">
        <v>0</v>
      </c>
      <c r="E181" s="179">
        <v>0</v>
      </c>
      <c r="F181" s="387"/>
      <c r="G181" s="181">
        <v>0</v>
      </c>
      <c r="H181" s="183">
        <v>0</v>
      </c>
      <c r="I181" s="185">
        <v>0</v>
      </c>
      <c r="J181" s="403"/>
    </row>
    <row r="182" spans="1:10">
      <c r="A182" s="405"/>
      <c r="B182" s="387"/>
      <c r="C182" s="175">
        <v>0</v>
      </c>
      <c r="D182" s="177">
        <v>0</v>
      </c>
      <c r="E182" s="179">
        <v>0</v>
      </c>
      <c r="F182" s="387"/>
      <c r="G182" s="181">
        <v>0</v>
      </c>
      <c r="H182" s="183">
        <v>0</v>
      </c>
      <c r="I182" s="185">
        <v>0</v>
      </c>
      <c r="J182" s="403"/>
    </row>
    <row r="183" spans="1:10" ht="15.75" thickBot="1">
      <c r="A183" s="405"/>
      <c r="B183" s="407"/>
      <c r="C183" s="176">
        <v>0</v>
      </c>
      <c r="D183" s="178">
        <v>0</v>
      </c>
      <c r="E183" s="180">
        <v>0</v>
      </c>
      <c r="F183" s="407"/>
      <c r="G183" s="182">
        <v>0</v>
      </c>
      <c r="H183" s="184">
        <v>0</v>
      </c>
      <c r="I183" s="186">
        <v>0</v>
      </c>
      <c r="J183" s="404"/>
    </row>
    <row r="184" spans="1:10">
      <c r="A184" s="399" t="s">
        <v>434</v>
      </c>
      <c r="B184" s="387" t="s">
        <v>975</v>
      </c>
      <c r="C184" s="175">
        <v>0</v>
      </c>
      <c r="D184" s="177">
        <v>0</v>
      </c>
      <c r="E184" s="179">
        <v>0</v>
      </c>
      <c r="F184" s="387" t="s">
        <v>975</v>
      </c>
      <c r="G184" s="181">
        <v>0</v>
      </c>
      <c r="H184" s="183">
        <v>0</v>
      </c>
      <c r="I184" s="185">
        <v>0</v>
      </c>
      <c r="J184" s="402" t="s">
        <v>15</v>
      </c>
    </row>
    <row r="185" spans="1:10">
      <c r="A185" s="405"/>
      <c r="B185" s="383"/>
      <c r="C185" s="175">
        <v>0</v>
      </c>
      <c r="D185" s="177">
        <v>0</v>
      </c>
      <c r="E185" s="179">
        <v>0</v>
      </c>
      <c r="F185" s="387"/>
      <c r="G185" s="181">
        <v>0</v>
      </c>
      <c r="H185" s="183">
        <v>0</v>
      </c>
      <c r="I185" s="185">
        <v>0</v>
      </c>
      <c r="J185" s="403"/>
    </row>
    <row r="186" spans="1:10">
      <c r="A186" s="405"/>
      <c r="B186" s="383"/>
      <c r="C186" s="175">
        <v>0</v>
      </c>
      <c r="D186" s="177">
        <v>0</v>
      </c>
      <c r="E186" s="179">
        <v>0</v>
      </c>
      <c r="F186" s="387"/>
      <c r="G186" s="181">
        <v>0</v>
      </c>
      <c r="H186" s="183">
        <v>0</v>
      </c>
      <c r="I186" s="185">
        <v>0</v>
      </c>
      <c r="J186" s="403"/>
    </row>
    <row r="187" spans="1:10">
      <c r="A187" s="405"/>
      <c r="B187" s="383"/>
      <c r="C187" s="175">
        <v>0</v>
      </c>
      <c r="D187" s="177">
        <v>0</v>
      </c>
      <c r="E187" s="179">
        <v>0</v>
      </c>
      <c r="F187" s="387"/>
      <c r="G187" s="181">
        <v>0</v>
      </c>
      <c r="H187" s="183">
        <v>0</v>
      </c>
      <c r="I187" s="185">
        <v>0</v>
      </c>
      <c r="J187" s="403"/>
    </row>
    <row r="188" spans="1:10">
      <c r="A188" s="405"/>
      <c r="B188" s="383"/>
      <c r="C188" s="175">
        <v>0</v>
      </c>
      <c r="D188" s="177">
        <v>0</v>
      </c>
      <c r="E188" s="179">
        <v>0</v>
      </c>
      <c r="F188" s="387"/>
      <c r="G188" s="181">
        <v>0</v>
      </c>
      <c r="H188" s="183">
        <v>0</v>
      </c>
      <c r="I188" s="185">
        <v>0</v>
      </c>
      <c r="J188" s="403"/>
    </row>
    <row r="189" spans="1:10" ht="15.75" thickBot="1">
      <c r="A189" s="405"/>
      <c r="B189" s="383"/>
      <c r="C189" s="176">
        <v>0</v>
      </c>
      <c r="D189" s="178">
        <v>0</v>
      </c>
      <c r="E189" s="180">
        <v>0</v>
      </c>
      <c r="F189" s="407"/>
      <c r="G189" s="182">
        <v>0</v>
      </c>
      <c r="H189" s="184">
        <v>0</v>
      </c>
      <c r="I189" s="186">
        <v>0</v>
      </c>
      <c r="J189" s="404"/>
    </row>
    <row r="190" spans="1:10">
      <c r="A190" s="399" t="s">
        <v>435</v>
      </c>
      <c r="B190" s="406" t="s">
        <v>975</v>
      </c>
      <c r="C190" s="175">
        <v>0</v>
      </c>
      <c r="D190" s="177">
        <v>0</v>
      </c>
      <c r="E190" s="179">
        <v>0</v>
      </c>
      <c r="F190" s="387" t="s">
        <v>975</v>
      </c>
      <c r="G190" s="181">
        <v>0</v>
      </c>
      <c r="H190" s="183">
        <v>0</v>
      </c>
      <c r="I190" s="185">
        <v>0</v>
      </c>
      <c r="J190" s="402" t="s">
        <v>15</v>
      </c>
    </row>
    <row r="191" spans="1:10">
      <c r="A191" s="405"/>
      <c r="B191" s="383"/>
      <c r="C191" s="175">
        <v>0</v>
      </c>
      <c r="D191" s="177">
        <v>0</v>
      </c>
      <c r="E191" s="179">
        <v>0</v>
      </c>
      <c r="F191" s="387"/>
      <c r="G191" s="181">
        <v>0</v>
      </c>
      <c r="H191" s="183">
        <v>0</v>
      </c>
      <c r="I191" s="185">
        <v>0</v>
      </c>
      <c r="J191" s="403"/>
    </row>
    <row r="192" spans="1:10">
      <c r="A192" s="405"/>
      <c r="B192" s="383"/>
      <c r="C192" s="175">
        <v>0</v>
      </c>
      <c r="D192" s="177">
        <v>0</v>
      </c>
      <c r="E192" s="179">
        <v>0</v>
      </c>
      <c r="F192" s="387"/>
      <c r="G192" s="181">
        <v>0</v>
      </c>
      <c r="H192" s="183">
        <v>0</v>
      </c>
      <c r="I192" s="185">
        <v>0</v>
      </c>
      <c r="J192" s="403"/>
    </row>
    <row r="193" spans="1:10">
      <c r="A193" s="405"/>
      <c r="B193" s="383"/>
      <c r="C193" s="175">
        <v>0</v>
      </c>
      <c r="D193" s="177">
        <v>0</v>
      </c>
      <c r="E193" s="179">
        <v>0</v>
      </c>
      <c r="F193" s="387"/>
      <c r="G193" s="181">
        <v>0</v>
      </c>
      <c r="H193" s="183">
        <v>0</v>
      </c>
      <c r="I193" s="185">
        <v>0</v>
      </c>
      <c r="J193" s="403"/>
    </row>
    <row r="194" spans="1:10">
      <c r="A194" s="405"/>
      <c r="B194" s="383"/>
      <c r="C194" s="175">
        <v>0</v>
      </c>
      <c r="D194" s="177">
        <v>0</v>
      </c>
      <c r="E194" s="179">
        <v>0</v>
      </c>
      <c r="F194" s="387"/>
      <c r="G194" s="181">
        <v>0</v>
      </c>
      <c r="H194" s="183">
        <v>0</v>
      </c>
      <c r="I194" s="185">
        <v>0</v>
      </c>
      <c r="J194" s="403"/>
    </row>
    <row r="195" spans="1:10" ht="15.75" thickBot="1">
      <c r="A195" s="405"/>
      <c r="B195" s="383"/>
      <c r="C195" s="176">
        <v>0</v>
      </c>
      <c r="D195" s="178">
        <v>0</v>
      </c>
      <c r="E195" s="180">
        <v>0</v>
      </c>
      <c r="F195" s="407"/>
      <c r="G195" s="182">
        <v>0</v>
      </c>
      <c r="H195" s="184">
        <v>0</v>
      </c>
      <c r="I195" s="186">
        <v>0</v>
      </c>
      <c r="J195" s="404"/>
    </row>
    <row r="196" spans="1:10">
      <c r="A196" s="399" t="s">
        <v>436</v>
      </c>
      <c r="B196" s="406" t="s">
        <v>975</v>
      </c>
      <c r="C196" s="175">
        <v>0</v>
      </c>
      <c r="D196" s="177">
        <v>0</v>
      </c>
      <c r="E196" s="179">
        <v>0</v>
      </c>
      <c r="F196" s="387" t="s">
        <v>975</v>
      </c>
      <c r="G196" s="181">
        <v>0</v>
      </c>
      <c r="H196" s="183">
        <v>0</v>
      </c>
      <c r="I196" s="185">
        <v>0</v>
      </c>
      <c r="J196" s="402" t="s">
        <v>15</v>
      </c>
    </row>
    <row r="197" spans="1:10">
      <c r="A197" s="405"/>
      <c r="B197" s="383"/>
      <c r="C197" s="175">
        <v>0</v>
      </c>
      <c r="D197" s="177">
        <v>0</v>
      </c>
      <c r="E197" s="179">
        <v>0</v>
      </c>
      <c r="F197" s="387"/>
      <c r="G197" s="181">
        <v>0</v>
      </c>
      <c r="H197" s="183">
        <v>0</v>
      </c>
      <c r="I197" s="185">
        <v>0</v>
      </c>
      <c r="J197" s="403"/>
    </row>
    <row r="198" spans="1:10">
      <c r="A198" s="405"/>
      <c r="B198" s="383"/>
      <c r="C198" s="175">
        <v>0</v>
      </c>
      <c r="D198" s="177">
        <v>0</v>
      </c>
      <c r="E198" s="179">
        <v>0</v>
      </c>
      <c r="F198" s="387"/>
      <c r="G198" s="181">
        <v>0</v>
      </c>
      <c r="H198" s="183">
        <v>0</v>
      </c>
      <c r="I198" s="185">
        <v>0</v>
      </c>
      <c r="J198" s="403"/>
    </row>
    <row r="199" spans="1:10">
      <c r="A199" s="405"/>
      <c r="B199" s="383"/>
      <c r="C199" s="175">
        <v>0</v>
      </c>
      <c r="D199" s="177">
        <v>0</v>
      </c>
      <c r="E199" s="179">
        <v>0</v>
      </c>
      <c r="F199" s="387"/>
      <c r="G199" s="181">
        <v>0</v>
      </c>
      <c r="H199" s="183">
        <v>0</v>
      </c>
      <c r="I199" s="185">
        <v>0</v>
      </c>
      <c r="J199" s="403"/>
    </row>
    <row r="200" spans="1:10">
      <c r="A200" s="405"/>
      <c r="B200" s="383"/>
      <c r="C200" s="175">
        <v>0</v>
      </c>
      <c r="D200" s="177">
        <v>0</v>
      </c>
      <c r="E200" s="179">
        <v>0</v>
      </c>
      <c r="F200" s="387"/>
      <c r="G200" s="181">
        <v>0</v>
      </c>
      <c r="H200" s="183">
        <v>0</v>
      </c>
      <c r="I200" s="185">
        <v>0</v>
      </c>
      <c r="J200" s="403"/>
    </row>
    <row r="201" spans="1:10" ht="15.75" thickBot="1">
      <c r="A201" s="405"/>
      <c r="B201" s="383"/>
      <c r="C201" s="176">
        <v>0</v>
      </c>
      <c r="D201" s="178">
        <v>0</v>
      </c>
      <c r="E201" s="180">
        <v>0</v>
      </c>
      <c r="F201" s="407"/>
      <c r="G201" s="182">
        <v>0</v>
      </c>
      <c r="H201" s="184">
        <v>0</v>
      </c>
      <c r="I201" s="186">
        <v>0</v>
      </c>
      <c r="J201" s="404"/>
    </row>
    <row r="202" spans="1:10">
      <c r="A202" s="399" t="s">
        <v>437</v>
      </c>
      <c r="B202" s="406" t="s">
        <v>975</v>
      </c>
      <c r="C202" s="175">
        <v>0</v>
      </c>
      <c r="D202" s="177">
        <v>0</v>
      </c>
      <c r="E202" s="179">
        <v>0</v>
      </c>
      <c r="F202" s="387" t="s">
        <v>975</v>
      </c>
      <c r="G202" s="181">
        <v>0</v>
      </c>
      <c r="H202" s="183">
        <v>0</v>
      </c>
      <c r="I202" s="185">
        <v>0</v>
      </c>
      <c r="J202" s="403" t="s">
        <v>15</v>
      </c>
    </row>
    <row r="203" spans="1:10">
      <c r="A203" s="405"/>
      <c r="B203" s="383"/>
      <c r="C203" s="175">
        <v>0</v>
      </c>
      <c r="D203" s="177">
        <v>0</v>
      </c>
      <c r="E203" s="179">
        <v>0</v>
      </c>
      <c r="F203" s="387"/>
      <c r="G203" s="181">
        <v>0</v>
      </c>
      <c r="H203" s="183">
        <v>0</v>
      </c>
      <c r="I203" s="185">
        <v>0</v>
      </c>
      <c r="J203" s="403"/>
    </row>
    <row r="204" spans="1:10">
      <c r="A204" s="405"/>
      <c r="B204" s="383"/>
      <c r="C204" s="175">
        <v>0</v>
      </c>
      <c r="D204" s="177">
        <v>0</v>
      </c>
      <c r="E204" s="179">
        <v>0</v>
      </c>
      <c r="F204" s="387"/>
      <c r="G204" s="181">
        <v>0</v>
      </c>
      <c r="H204" s="183">
        <v>0</v>
      </c>
      <c r="I204" s="185">
        <v>0</v>
      </c>
      <c r="J204" s="403"/>
    </row>
    <row r="205" spans="1:10">
      <c r="A205" s="405"/>
      <c r="B205" s="383"/>
      <c r="C205" s="175">
        <v>0</v>
      </c>
      <c r="D205" s="177">
        <v>0</v>
      </c>
      <c r="E205" s="179">
        <v>0</v>
      </c>
      <c r="F205" s="387"/>
      <c r="G205" s="181">
        <v>0</v>
      </c>
      <c r="H205" s="183">
        <v>0</v>
      </c>
      <c r="I205" s="185">
        <v>0</v>
      </c>
      <c r="J205" s="403"/>
    </row>
    <row r="206" spans="1:10">
      <c r="A206" s="405"/>
      <c r="B206" s="383"/>
      <c r="C206" s="175">
        <v>0</v>
      </c>
      <c r="D206" s="177">
        <v>0</v>
      </c>
      <c r="E206" s="179">
        <v>0</v>
      </c>
      <c r="F206" s="387"/>
      <c r="G206" s="181">
        <v>0</v>
      </c>
      <c r="H206" s="183">
        <v>0</v>
      </c>
      <c r="I206" s="185">
        <v>0</v>
      </c>
      <c r="J206" s="403"/>
    </row>
    <row r="207" spans="1:10" ht="15.75" thickBot="1">
      <c r="A207" s="405"/>
      <c r="B207" s="383"/>
      <c r="C207" s="176">
        <v>0</v>
      </c>
      <c r="D207" s="178">
        <v>0</v>
      </c>
      <c r="E207" s="180">
        <v>0</v>
      </c>
      <c r="F207" s="407"/>
      <c r="G207" s="182">
        <v>0</v>
      </c>
      <c r="H207" s="184">
        <v>0</v>
      </c>
      <c r="I207" s="186">
        <v>0</v>
      </c>
      <c r="J207" s="404"/>
    </row>
    <row r="208" spans="1:10">
      <c r="A208" s="399" t="s">
        <v>438</v>
      </c>
      <c r="B208" s="406" t="s">
        <v>975</v>
      </c>
      <c r="C208" s="175">
        <v>0</v>
      </c>
      <c r="D208" s="177">
        <v>0</v>
      </c>
      <c r="E208" s="179">
        <v>0</v>
      </c>
      <c r="F208" s="387" t="s">
        <v>975</v>
      </c>
      <c r="G208" s="181">
        <v>0</v>
      </c>
      <c r="H208" s="183">
        <v>0</v>
      </c>
      <c r="I208" s="185">
        <v>0</v>
      </c>
      <c r="J208" s="403" t="s">
        <v>15</v>
      </c>
    </row>
    <row r="209" spans="1:10">
      <c r="A209" s="405"/>
      <c r="B209" s="387"/>
      <c r="C209" s="175">
        <v>0</v>
      </c>
      <c r="D209" s="177">
        <v>0</v>
      </c>
      <c r="E209" s="179">
        <v>0</v>
      </c>
      <c r="F209" s="387"/>
      <c r="G209" s="181">
        <v>0</v>
      </c>
      <c r="H209" s="183">
        <v>0</v>
      </c>
      <c r="I209" s="185">
        <v>0</v>
      </c>
      <c r="J209" s="403"/>
    </row>
    <row r="210" spans="1:10">
      <c r="A210" s="405"/>
      <c r="B210" s="387"/>
      <c r="C210" s="175">
        <v>0</v>
      </c>
      <c r="D210" s="177">
        <v>0</v>
      </c>
      <c r="E210" s="179">
        <v>0</v>
      </c>
      <c r="F210" s="387"/>
      <c r="G210" s="181">
        <v>0</v>
      </c>
      <c r="H210" s="183">
        <v>0</v>
      </c>
      <c r="I210" s="185">
        <v>0</v>
      </c>
      <c r="J210" s="403"/>
    </row>
    <row r="211" spans="1:10">
      <c r="A211" s="405"/>
      <c r="B211" s="387"/>
      <c r="C211" s="175">
        <v>0</v>
      </c>
      <c r="D211" s="177">
        <v>0</v>
      </c>
      <c r="E211" s="179">
        <v>0</v>
      </c>
      <c r="F211" s="387"/>
      <c r="G211" s="181">
        <v>0</v>
      </c>
      <c r="H211" s="183">
        <v>0</v>
      </c>
      <c r="I211" s="185">
        <v>0</v>
      </c>
      <c r="J211" s="403"/>
    </row>
    <row r="212" spans="1:10">
      <c r="A212" s="405"/>
      <c r="B212" s="387"/>
      <c r="C212" s="175">
        <v>0</v>
      </c>
      <c r="D212" s="177">
        <v>0</v>
      </c>
      <c r="E212" s="179">
        <v>0</v>
      </c>
      <c r="F212" s="387"/>
      <c r="G212" s="181">
        <v>0</v>
      </c>
      <c r="H212" s="183">
        <v>0</v>
      </c>
      <c r="I212" s="185">
        <v>0</v>
      </c>
      <c r="J212" s="403"/>
    </row>
    <row r="213" spans="1:10" ht="15.75" thickBot="1">
      <c r="A213" s="405"/>
      <c r="B213" s="407"/>
      <c r="C213" s="176">
        <v>0</v>
      </c>
      <c r="D213" s="178">
        <v>0</v>
      </c>
      <c r="E213" s="180">
        <v>0</v>
      </c>
      <c r="F213" s="407"/>
      <c r="G213" s="182">
        <v>0</v>
      </c>
      <c r="H213" s="184">
        <v>0</v>
      </c>
      <c r="I213" s="186">
        <v>0</v>
      </c>
      <c r="J213" s="404"/>
    </row>
    <row r="214" spans="1:10">
      <c r="A214" s="399" t="s">
        <v>439</v>
      </c>
      <c r="B214" s="406" t="s">
        <v>975</v>
      </c>
      <c r="C214" s="175">
        <v>0</v>
      </c>
      <c r="D214" s="177">
        <v>0</v>
      </c>
      <c r="E214" s="179">
        <v>0</v>
      </c>
      <c r="F214" s="387" t="s">
        <v>975</v>
      </c>
      <c r="G214" s="181">
        <v>0</v>
      </c>
      <c r="H214" s="183">
        <v>0</v>
      </c>
      <c r="I214" s="185">
        <v>0</v>
      </c>
      <c r="J214" s="403" t="s">
        <v>15</v>
      </c>
    </row>
    <row r="215" spans="1:10">
      <c r="A215" s="405"/>
      <c r="B215" s="387"/>
      <c r="C215" s="175">
        <v>0</v>
      </c>
      <c r="D215" s="177">
        <v>0</v>
      </c>
      <c r="E215" s="179">
        <v>0</v>
      </c>
      <c r="F215" s="387"/>
      <c r="G215" s="181">
        <v>0</v>
      </c>
      <c r="H215" s="183">
        <v>0</v>
      </c>
      <c r="I215" s="185">
        <v>0</v>
      </c>
      <c r="J215" s="403"/>
    </row>
    <row r="216" spans="1:10">
      <c r="A216" s="405"/>
      <c r="B216" s="387"/>
      <c r="C216" s="175">
        <v>0</v>
      </c>
      <c r="D216" s="177">
        <v>0</v>
      </c>
      <c r="E216" s="179">
        <v>0</v>
      </c>
      <c r="F216" s="387"/>
      <c r="G216" s="181">
        <v>0</v>
      </c>
      <c r="H216" s="183">
        <v>0</v>
      </c>
      <c r="I216" s="185">
        <v>0</v>
      </c>
      <c r="J216" s="403"/>
    </row>
    <row r="217" spans="1:10">
      <c r="A217" s="405"/>
      <c r="B217" s="387"/>
      <c r="C217" s="175">
        <v>0</v>
      </c>
      <c r="D217" s="177">
        <v>0</v>
      </c>
      <c r="E217" s="179">
        <v>0</v>
      </c>
      <c r="F217" s="387"/>
      <c r="G217" s="181">
        <v>0</v>
      </c>
      <c r="H217" s="183">
        <v>0</v>
      </c>
      <c r="I217" s="185">
        <v>0</v>
      </c>
      <c r="J217" s="403"/>
    </row>
    <row r="218" spans="1:10">
      <c r="A218" s="405"/>
      <c r="B218" s="387"/>
      <c r="C218" s="175">
        <v>0</v>
      </c>
      <c r="D218" s="177">
        <v>0</v>
      </c>
      <c r="E218" s="179">
        <v>0</v>
      </c>
      <c r="F218" s="387"/>
      <c r="G218" s="181">
        <v>0</v>
      </c>
      <c r="H218" s="183">
        <v>0</v>
      </c>
      <c r="I218" s="185">
        <v>0</v>
      </c>
      <c r="J218" s="403"/>
    </row>
    <row r="219" spans="1:10" ht="15.75" thickBot="1">
      <c r="A219" s="405"/>
      <c r="B219" s="407"/>
      <c r="C219" s="176">
        <v>0</v>
      </c>
      <c r="D219" s="178">
        <v>0</v>
      </c>
      <c r="E219" s="180">
        <v>0</v>
      </c>
      <c r="F219" s="407"/>
      <c r="G219" s="182">
        <v>0</v>
      </c>
      <c r="H219" s="184">
        <v>0</v>
      </c>
      <c r="I219" s="186">
        <v>0</v>
      </c>
      <c r="J219" s="404"/>
    </row>
    <row r="220" spans="1:10">
      <c r="A220" s="399" t="s">
        <v>440</v>
      </c>
      <c r="B220" s="387" t="s">
        <v>975</v>
      </c>
      <c r="C220" s="175">
        <v>0</v>
      </c>
      <c r="D220" s="177">
        <v>0</v>
      </c>
      <c r="E220" s="179">
        <v>0</v>
      </c>
      <c r="F220" s="387" t="s">
        <v>975</v>
      </c>
      <c r="G220" s="181">
        <v>0</v>
      </c>
      <c r="H220" s="183">
        <v>0</v>
      </c>
      <c r="I220" s="185">
        <v>0</v>
      </c>
      <c r="J220" s="403" t="s">
        <v>15</v>
      </c>
    </row>
    <row r="221" spans="1:10">
      <c r="A221" s="405"/>
      <c r="B221" s="383"/>
      <c r="C221" s="175">
        <v>0</v>
      </c>
      <c r="D221" s="177">
        <v>0</v>
      </c>
      <c r="E221" s="179">
        <v>0</v>
      </c>
      <c r="F221" s="387"/>
      <c r="G221" s="181">
        <v>0</v>
      </c>
      <c r="H221" s="183">
        <v>0</v>
      </c>
      <c r="I221" s="185">
        <v>0</v>
      </c>
      <c r="J221" s="403"/>
    </row>
    <row r="222" spans="1:10">
      <c r="A222" s="405"/>
      <c r="B222" s="383"/>
      <c r="C222" s="175">
        <v>0</v>
      </c>
      <c r="D222" s="177">
        <v>0</v>
      </c>
      <c r="E222" s="179">
        <v>0</v>
      </c>
      <c r="F222" s="387"/>
      <c r="G222" s="181">
        <v>0</v>
      </c>
      <c r="H222" s="183">
        <v>0</v>
      </c>
      <c r="I222" s="185">
        <v>0</v>
      </c>
      <c r="J222" s="403"/>
    </row>
    <row r="223" spans="1:10">
      <c r="A223" s="405"/>
      <c r="B223" s="383"/>
      <c r="C223" s="175">
        <v>0</v>
      </c>
      <c r="D223" s="177">
        <v>0</v>
      </c>
      <c r="E223" s="179">
        <v>0</v>
      </c>
      <c r="F223" s="387"/>
      <c r="G223" s="181">
        <v>0</v>
      </c>
      <c r="H223" s="183">
        <v>0</v>
      </c>
      <c r="I223" s="185">
        <v>0</v>
      </c>
      <c r="J223" s="403"/>
    </row>
    <row r="224" spans="1:10">
      <c r="A224" s="405"/>
      <c r="B224" s="383"/>
      <c r="C224" s="175">
        <v>0</v>
      </c>
      <c r="D224" s="177">
        <v>0</v>
      </c>
      <c r="E224" s="179">
        <v>0</v>
      </c>
      <c r="F224" s="387"/>
      <c r="G224" s="181">
        <v>0</v>
      </c>
      <c r="H224" s="183">
        <v>0</v>
      </c>
      <c r="I224" s="185">
        <v>0</v>
      </c>
      <c r="J224" s="403"/>
    </row>
    <row r="225" spans="1:10" ht="15.75" thickBot="1">
      <c r="A225" s="405"/>
      <c r="B225" s="383"/>
      <c r="C225" s="176">
        <v>0</v>
      </c>
      <c r="D225" s="178">
        <v>0</v>
      </c>
      <c r="E225" s="180">
        <v>0</v>
      </c>
      <c r="F225" s="407"/>
      <c r="G225" s="182">
        <v>0</v>
      </c>
      <c r="H225" s="184">
        <v>0</v>
      </c>
      <c r="I225" s="186">
        <v>0</v>
      </c>
      <c r="J225" s="404"/>
    </row>
    <row r="226" spans="1:10">
      <c r="A226" s="399" t="s">
        <v>441</v>
      </c>
      <c r="B226" s="406" t="s">
        <v>975</v>
      </c>
      <c r="C226" s="175">
        <v>0</v>
      </c>
      <c r="D226" s="177">
        <v>0</v>
      </c>
      <c r="E226" s="179">
        <v>0</v>
      </c>
      <c r="F226" s="387" t="s">
        <v>975</v>
      </c>
      <c r="G226" s="181">
        <v>0</v>
      </c>
      <c r="H226" s="183">
        <v>0</v>
      </c>
      <c r="I226" s="185">
        <v>0</v>
      </c>
      <c r="J226" s="403" t="s">
        <v>15</v>
      </c>
    </row>
    <row r="227" spans="1:10">
      <c r="A227" s="405"/>
      <c r="B227" s="383"/>
      <c r="C227" s="175">
        <v>0</v>
      </c>
      <c r="D227" s="177">
        <v>0</v>
      </c>
      <c r="E227" s="179">
        <v>0</v>
      </c>
      <c r="F227" s="387"/>
      <c r="G227" s="181">
        <v>0</v>
      </c>
      <c r="H227" s="183">
        <v>0</v>
      </c>
      <c r="I227" s="185">
        <v>0</v>
      </c>
      <c r="J227" s="403"/>
    </row>
    <row r="228" spans="1:10">
      <c r="A228" s="405"/>
      <c r="B228" s="383"/>
      <c r="C228" s="175">
        <v>0</v>
      </c>
      <c r="D228" s="177">
        <v>0</v>
      </c>
      <c r="E228" s="179">
        <v>0</v>
      </c>
      <c r="F228" s="387"/>
      <c r="G228" s="181">
        <v>0</v>
      </c>
      <c r="H228" s="183">
        <v>0</v>
      </c>
      <c r="I228" s="185">
        <v>0</v>
      </c>
      <c r="J228" s="403"/>
    </row>
    <row r="229" spans="1:10">
      <c r="A229" s="405"/>
      <c r="B229" s="383"/>
      <c r="C229" s="175">
        <v>0</v>
      </c>
      <c r="D229" s="177">
        <v>0</v>
      </c>
      <c r="E229" s="179">
        <v>0</v>
      </c>
      <c r="F229" s="387"/>
      <c r="G229" s="181">
        <v>0</v>
      </c>
      <c r="H229" s="183">
        <v>0</v>
      </c>
      <c r="I229" s="185">
        <v>0</v>
      </c>
      <c r="J229" s="403"/>
    </row>
    <row r="230" spans="1:10">
      <c r="A230" s="405"/>
      <c r="B230" s="383"/>
      <c r="C230" s="175">
        <v>0</v>
      </c>
      <c r="D230" s="177">
        <v>0</v>
      </c>
      <c r="E230" s="179">
        <v>0</v>
      </c>
      <c r="F230" s="387"/>
      <c r="G230" s="181">
        <v>0</v>
      </c>
      <c r="H230" s="183">
        <v>0</v>
      </c>
      <c r="I230" s="185">
        <v>0</v>
      </c>
      <c r="J230" s="403"/>
    </row>
    <row r="231" spans="1:10" ht="15.75" thickBot="1">
      <c r="A231" s="405"/>
      <c r="B231" s="383"/>
      <c r="C231" s="176">
        <v>0</v>
      </c>
      <c r="D231" s="178">
        <v>0</v>
      </c>
      <c r="E231" s="180">
        <v>0</v>
      </c>
      <c r="F231" s="407"/>
      <c r="G231" s="182">
        <v>0</v>
      </c>
      <c r="H231" s="184">
        <v>0</v>
      </c>
      <c r="I231" s="186">
        <v>0</v>
      </c>
      <c r="J231" s="403"/>
    </row>
    <row r="232" spans="1:10">
      <c r="A232" s="399" t="s">
        <v>442</v>
      </c>
      <c r="B232" s="406" t="s">
        <v>975</v>
      </c>
      <c r="C232" s="175">
        <v>0</v>
      </c>
      <c r="D232" s="177">
        <v>0</v>
      </c>
      <c r="E232" s="179">
        <v>0</v>
      </c>
      <c r="F232" s="387" t="s">
        <v>975</v>
      </c>
      <c r="G232" s="181">
        <v>0</v>
      </c>
      <c r="H232" s="183">
        <v>0</v>
      </c>
      <c r="I232" s="185">
        <v>0</v>
      </c>
      <c r="J232" s="402" t="s">
        <v>15</v>
      </c>
    </row>
    <row r="233" spans="1:10">
      <c r="A233" s="405"/>
      <c r="B233" s="387"/>
      <c r="C233" s="175">
        <v>0</v>
      </c>
      <c r="D233" s="177">
        <v>0</v>
      </c>
      <c r="E233" s="179">
        <v>0</v>
      </c>
      <c r="F233" s="387"/>
      <c r="G233" s="181">
        <v>0</v>
      </c>
      <c r="H233" s="183">
        <v>0</v>
      </c>
      <c r="I233" s="185">
        <v>0</v>
      </c>
      <c r="J233" s="403"/>
    </row>
    <row r="234" spans="1:10">
      <c r="A234" s="405"/>
      <c r="B234" s="387"/>
      <c r="C234" s="175">
        <v>0</v>
      </c>
      <c r="D234" s="177">
        <v>0</v>
      </c>
      <c r="E234" s="179">
        <v>0</v>
      </c>
      <c r="F234" s="387"/>
      <c r="G234" s="181">
        <v>0</v>
      </c>
      <c r="H234" s="183">
        <v>0</v>
      </c>
      <c r="I234" s="185">
        <v>0</v>
      </c>
      <c r="J234" s="403"/>
    </row>
    <row r="235" spans="1:10">
      <c r="A235" s="405"/>
      <c r="B235" s="387"/>
      <c r="C235" s="175">
        <v>0</v>
      </c>
      <c r="D235" s="177">
        <v>0</v>
      </c>
      <c r="E235" s="179">
        <v>0</v>
      </c>
      <c r="F235" s="387"/>
      <c r="G235" s="181">
        <v>0</v>
      </c>
      <c r="H235" s="183">
        <v>0</v>
      </c>
      <c r="I235" s="185">
        <v>0</v>
      </c>
      <c r="J235" s="403"/>
    </row>
    <row r="236" spans="1:10">
      <c r="A236" s="405"/>
      <c r="B236" s="387"/>
      <c r="C236" s="175">
        <v>0</v>
      </c>
      <c r="D236" s="177">
        <v>0</v>
      </c>
      <c r="E236" s="179">
        <v>0</v>
      </c>
      <c r="F236" s="387"/>
      <c r="G236" s="181">
        <v>0</v>
      </c>
      <c r="H236" s="183">
        <v>0</v>
      </c>
      <c r="I236" s="185">
        <v>0</v>
      </c>
      <c r="J236" s="403"/>
    </row>
    <row r="237" spans="1:10" ht="15.75" thickBot="1">
      <c r="A237" s="405"/>
      <c r="B237" s="407"/>
      <c r="C237" s="176">
        <v>0</v>
      </c>
      <c r="D237" s="178">
        <v>0</v>
      </c>
      <c r="E237" s="180">
        <v>0</v>
      </c>
      <c r="F237" s="407"/>
      <c r="G237" s="182">
        <v>0</v>
      </c>
      <c r="H237" s="184">
        <v>0</v>
      </c>
      <c r="I237" s="186">
        <v>0</v>
      </c>
      <c r="J237" s="404"/>
    </row>
    <row r="238" spans="1:10">
      <c r="A238" s="399" t="s">
        <v>443</v>
      </c>
      <c r="B238" s="387" t="s">
        <v>975</v>
      </c>
      <c r="C238" s="175">
        <v>0</v>
      </c>
      <c r="D238" s="177">
        <v>0</v>
      </c>
      <c r="E238" s="179">
        <v>0</v>
      </c>
      <c r="F238" s="387" t="s">
        <v>975</v>
      </c>
      <c r="G238" s="181">
        <v>0</v>
      </c>
      <c r="H238" s="183">
        <v>0</v>
      </c>
      <c r="I238" s="185">
        <v>0</v>
      </c>
      <c r="J238" s="402" t="s">
        <v>15</v>
      </c>
    </row>
    <row r="239" spans="1:10">
      <c r="A239" s="405"/>
      <c r="B239" s="387"/>
      <c r="C239" s="175">
        <v>0</v>
      </c>
      <c r="D239" s="177">
        <v>0</v>
      </c>
      <c r="E239" s="179">
        <v>0</v>
      </c>
      <c r="F239" s="387"/>
      <c r="G239" s="181">
        <v>0</v>
      </c>
      <c r="H239" s="183">
        <v>0</v>
      </c>
      <c r="I239" s="185">
        <v>0</v>
      </c>
      <c r="J239" s="403"/>
    </row>
    <row r="240" spans="1:10">
      <c r="A240" s="405"/>
      <c r="B240" s="387"/>
      <c r="C240" s="175">
        <v>0</v>
      </c>
      <c r="D240" s="177">
        <v>0</v>
      </c>
      <c r="E240" s="179">
        <v>0</v>
      </c>
      <c r="F240" s="387"/>
      <c r="G240" s="181">
        <v>0</v>
      </c>
      <c r="H240" s="183">
        <v>0</v>
      </c>
      <c r="I240" s="185">
        <v>0</v>
      </c>
      <c r="J240" s="403"/>
    </row>
    <row r="241" spans="1:10">
      <c r="A241" s="405"/>
      <c r="B241" s="387"/>
      <c r="C241" s="175">
        <v>0</v>
      </c>
      <c r="D241" s="177">
        <v>0</v>
      </c>
      <c r="E241" s="179">
        <v>0</v>
      </c>
      <c r="F241" s="387"/>
      <c r="G241" s="181">
        <v>0</v>
      </c>
      <c r="H241" s="183">
        <v>0</v>
      </c>
      <c r="I241" s="185">
        <v>0</v>
      </c>
      <c r="J241" s="403"/>
    </row>
    <row r="242" spans="1:10">
      <c r="A242" s="405"/>
      <c r="B242" s="387"/>
      <c r="C242" s="175">
        <v>0</v>
      </c>
      <c r="D242" s="177">
        <v>0</v>
      </c>
      <c r="E242" s="179">
        <v>0</v>
      </c>
      <c r="F242" s="387"/>
      <c r="G242" s="181">
        <v>0</v>
      </c>
      <c r="H242" s="183">
        <v>0</v>
      </c>
      <c r="I242" s="185">
        <v>0</v>
      </c>
      <c r="J242" s="403"/>
    </row>
    <row r="243" spans="1:10" ht="15.75" thickBot="1">
      <c r="A243" s="405"/>
      <c r="B243" s="407"/>
      <c r="C243" s="176">
        <v>0</v>
      </c>
      <c r="D243" s="178">
        <v>0</v>
      </c>
      <c r="E243" s="180">
        <v>0</v>
      </c>
      <c r="F243" s="407"/>
      <c r="G243" s="182">
        <v>0</v>
      </c>
      <c r="H243" s="184">
        <v>0</v>
      </c>
      <c r="I243" s="186">
        <v>0</v>
      </c>
      <c r="J243" s="404"/>
    </row>
    <row r="244" spans="1:10">
      <c r="A244" s="399" t="s">
        <v>444</v>
      </c>
      <c r="B244" s="387" t="s">
        <v>975</v>
      </c>
      <c r="C244" s="175">
        <v>0</v>
      </c>
      <c r="D244" s="177">
        <v>0</v>
      </c>
      <c r="E244" s="179">
        <v>0</v>
      </c>
      <c r="F244" s="387" t="s">
        <v>975</v>
      </c>
      <c r="G244" s="181">
        <v>0</v>
      </c>
      <c r="H244" s="183">
        <v>0</v>
      </c>
      <c r="I244" s="185">
        <v>0</v>
      </c>
      <c r="J244" s="402" t="s">
        <v>15</v>
      </c>
    </row>
    <row r="245" spans="1:10">
      <c r="A245" s="405"/>
      <c r="B245" s="383"/>
      <c r="C245" s="175">
        <v>0</v>
      </c>
      <c r="D245" s="177">
        <v>0</v>
      </c>
      <c r="E245" s="179">
        <v>0</v>
      </c>
      <c r="F245" s="387"/>
      <c r="G245" s="181">
        <v>0</v>
      </c>
      <c r="H245" s="183">
        <v>0</v>
      </c>
      <c r="I245" s="185">
        <v>0</v>
      </c>
      <c r="J245" s="403"/>
    </row>
    <row r="246" spans="1:10">
      <c r="A246" s="405"/>
      <c r="B246" s="383"/>
      <c r="C246" s="175">
        <v>0</v>
      </c>
      <c r="D246" s="177">
        <v>0</v>
      </c>
      <c r="E246" s="179">
        <v>0</v>
      </c>
      <c r="F246" s="387"/>
      <c r="G246" s="181">
        <v>0</v>
      </c>
      <c r="H246" s="183">
        <v>0</v>
      </c>
      <c r="I246" s="185">
        <v>0</v>
      </c>
      <c r="J246" s="403"/>
    </row>
    <row r="247" spans="1:10">
      <c r="A247" s="405"/>
      <c r="B247" s="383"/>
      <c r="C247" s="175">
        <v>0</v>
      </c>
      <c r="D247" s="177">
        <v>0</v>
      </c>
      <c r="E247" s="179">
        <v>0</v>
      </c>
      <c r="F247" s="387"/>
      <c r="G247" s="181">
        <v>0</v>
      </c>
      <c r="H247" s="183">
        <v>0</v>
      </c>
      <c r="I247" s="185">
        <v>0</v>
      </c>
      <c r="J247" s="403"/>
    </row>
    <row r="248" spans="1:10">
      <c r="A248" s="405"/>
      <c r="B248" s="383"/>
      <c r="C248" s="175">
        <v>0</v>
      </c>
      <c r="D248" s="177">
        <v>0</v>
      </c>
      <c r="E248" s="179">
        <v>0</v>
      </c>
      <c r="F248" s="387"/>
      <c r="G248" s="181">
        <v>0</v>
      </c>
      <c r="H248" s="183">
        <v>0</v>
      </c>
      <c r="I248" s="185">
        <v>0</v>
      </c>
      <c r="J248" s="403"/>
    </row>
    <row r="249" spans="1:10" ht="15.75" thickBot="1">
      <c r="A249" s="405"/>
      <c r="B249" s="383"/>
      <c r="C249" s="176">
        <v>0</v>
      </c>
      <c r="D249" s="178">
        <v>0</v>
      </c>
      <c r="E249" s="180">
        <v>0</v>
      </c>
      <c r="F249" s="407"/>
      <c r="G249" s="182">
        <v>0</v>
      </c>
      <c r="H249" s="184">
        <v>0</v>
      </c>
      <c r="I249" s="186">
        <v>0</v>
      </c>
      <c r="J249" s="404"/>
    </row>
    <row r="250" spans="1:10">
      <c r="A250" s="399" t="s">
        <v>445</v>
      </c>
      <c r="B250" s="406" t="s">
        <v>975</v>
      </c>
      <c r="C250" s="175">
        <v>0</v>
      </c>
      <c r="D250" s="177">
        <v>0</v>
      </c>
      <c r="E250" s="179">
        <v>0</v>
      </c>
      <c r="F250" s="387" t="s">
        <v>975</v>
      </c>
      <c r="G250" s="181">
        <v>0</v>
      </c>
      <c r="H250" s="183">
        <v>0</v>
      </c>
      <c r="I250" s="185">
        <v>0</v>
      </c>
      <c r="J250" s="402" t="s">
        <v>15</v>
      </c>
    </row>
    <row r="251" spans="1:10">
      <c r="A251" s="405"/>
      <c r="B251" s="383"/>
      <c r="C251" s="175">
        <v>0</v>
      </c>
      <c r="D251" s="177">
        <v>0</v>
      </c>
      <c r="E251" s="179">
        <v>0</v>
      </c>
      <c r="F251" s="387"/>
      <c r="G251" s="181">
        <v>0</v>
      </c>
      <c r="H251" s="183">
        <v>0</v>
      </c>
      <c r="I251" s="185">
        <v>0</v>
      </c>
      <c r="J251" s="403"/>
    </row>
    <row r="252" spans="1:10">
      <c r="A252" s="405"/>
      <c r="B252" s="383"/>
      <c r="C252" s="175">
        <v>0</v>
      </c>
      <c r="D252" s="177">
        <v>0</v>
      </c>
      <c r="E252" s="179">
        <v>0</v>
      </c>
      <c r="F252" s="387"/>
      <c r="G252" s="181">
        <v>0</v>
      </c>
      <c r="H252" s="183">
        <v>0</v>
      </c>
      <c r="I252" s="185">
        <v>0</v>
      </c>
      <c r="J252" s="403"/>
    </row>
    <row r="253" spans="1:10">
      <c r="A253" s="405"/>
      <c r="B253" s="383"/>
      <c r="C253" s="175">
        <v>0</v>
      </c>
      <c r="D253" s="177">
        <v>0</v>
      </c>
      <c r="E253" s="179">
        <v>0</v>
      </c>
      <c r="F253" s="387"/>
      <c r="G253" s="181">
        <v>0</v>
      </c>
      <c r="H253" s="183">
        <v>0</v>
      </c>
      <c r="I253" s="185">
        <v>0</v>
      </c>
      <c r="J253" s="403"/>
    </row>
    <row r="254" spans="1:10">
      <c r="A254" s="405"/>
      <c r="B254" s="383"/>
      <c r="C254" s="175">
        <v>0</v>
      </c>
      <c r="D254" s="177">
        <v>0</v>
      </c>
      <c r="E254" s="179">
        <v>0</v>
      </c>
      <c r="F254" s="387"/>
      <c r="G254" s="181">
        <v>0</v>
      </c>
      <c r="H254" s="183">
        <v>0</v>
      </c>
      <c r="I254" s="185">
        <v>0</v>
      </c>
      <c r="J254" s="403"/>
    </row>
    <row r="255" spans="1:10" ht="15.75" thickBot="1">
      <c r="A255" s="405"/>
      <c r="B255" s="383"/>
      <c r="C255" s="176">
        <v>0</v>
      </c>
      <c r="D255" s="178">
        <v>0</v>
      </c>
      <c r="E255" s="180">
        <v>0</v>
      </c>
      <c r="F255" s="407"/>
      <c r="G255" s="182">
        <v>0</v>
      </c>
      <c r="H255" s="184">
        <v>0</v>
      </c>
      <c r="I255" s="186">
        <v>0</v>
      </c>
      <c r="J255" s="404"/>
    </row>
    <row r="256" spans="1:10" ht="15.75" thickBot="1">
      <c r="A256" s="120" t="s">
        <v>1015</v>
      </c>
      <c r="B256" s="120" t="s">
        <v>1006</v>
      </c>
      <c r="C256" s="121" t="s">
        <v>1007</v>
      </c>
      <c r="D256" s="121" t="s">
        <v>1008</v>
      </c>
      <c r="E256" s="121" t="s">
        <v>1009</v>
      </c>
      <c r="F256" s="120" t="s">
        <v>1010</v>
      </c>
      <c r="G256" s="121" t="s">
        <v>1011</v>
      </c>
      <c r="H256" s="121" t="s">
        <v>1012</v>
      </c>
      <c r="I256" s="121" t="s">
        <v>1013</v>
      </c>
      <c r="J256" s="124" t="s">
        <v>289</v>
      </c>
    </row>
    <row r="257" spans="1:10">
      <c r="A257" s="399" t="s">
        <v>41</v>
      </c>
      <c r="B257" s="406" t="s">
        <v>975</v>
      </c>
      <c r="C257" s="187">
        <v>0</v>
      </c>
      <c r="D257" s="189">
        <v>0</v>
      </c>
      <c r="E257" s="191">
        <v>0</v>
      </c>
      <c r="F257" s="387" t="s">
        <v>975</v>
      </c>
      <c r="G257" s="193">
        <v>0</v>
      </c>
      <c r="H257" s="195">
        <v>0</v>
      </c>
      <c r="I257" s="197">
        <v>0</v>
      </c>
      <c r="J257" s="402" t="str">
        <f>LTE_Band_filter!B5</f>
        <v>LTE_BandNone</v>
      </c>
    </row>
    <row r="258" spans="1:10">
      <c r="A258" s="405"/>
      <c r="B258" s="383"/>
      <c r="C258" s="187">
        <v>0</v>
      </c>
      <c r="D258" s="189">
        <v>0</v>
      </c>
      <c r="E258" s="191">
        <v>0</v>
      </c>
      <c r="F258" s="387"/>
      <c r="G258" s="193">
        <v>0</v>
      </c>
      <c r="H258" s="195">
        <v>0</v>
      </c>
      <c r="I258" s="197">
        <v>0</v>
      </c>
      <c r="J258" s="403"/>
    </row>
    <row r="259" spans="1:10">
      <c r="A259" s="405"/>
      <c r="B259" s="383"/>
      <c r="C259" s="187">
        <v>0</v>
      </c>
      <c r="D259" s="189">
        <v>0</v>
      </c>
      <c r="E259" s="191">
        <v>0</v>
      </c>
      <c r="F259" s="387"/>
      <c r="G259" s="193">
        <v>0</v>
      </c>
      <c r="H259" s="195">
        <v>0</v>
      </c>
      <c r="I259" s="197">
        <v>0</v>
      </c>
      <c r="J259" s="403"/>
    </row>
    <row r="260" spans="1:10">
      <c r="A260" s="405"/>
      <c r="B260" s="383"/>
      <c r="C260" s="187">
        <v>0</v>
      </c>
      <c r="D260" s="189">
        <v>0</v>
      </c>
      <c r="E260" s="191">
        <v>0</v>
      </c>
      <c r="F260" s="387"/>
      <c r="G260" s="193">
        <v>0</v>
      </c>
      <c r="H260" s="195">
        <v>0</v>
      </c>
      <c r="I260" s="197">
        <v>0</v>
      </c>
      <c r="J260" s="403"/>
    </row>
    <row r="261" spans="1:10">
      <c r="A261" s="405"/>
      <c r="B261" s="383"/>
      <c r="C261" s="187">
        <v>0</v>
      </c>
      <c r="D261" s="189">
        <v>0</v>
      </c>
      <c r="E261" s="191">
        <v>0</v>
      </c>
      <c r="F261" s="387"/>
      <c r="G261" s="193">
        <v>0</v>
      </c>
      <c r="H261" s="195">
        <v>0</v>
      </c>
      <c r="I261" s="197">
        <v>0</v>
      </c>
      <c r="J261" s="403"/>
    </row>
    <row r="262" spans="1:10" ht="15.75" thickBot="1">
      <c r="A262" s="405"/>
      <c r="B262" s="383"/>
      <c r="C262" s="188">
        <v>0</v>
      </c>
      <c r="D262" s="190">
        <v>0</v>
      </c>
      <c r="E262" s="192">
        <v>0</v>
      </c>
      <c r="F262" s="407"/>
      <c r="G262" s="194">
        <v>0</v>
      </c>
      <c r="H262" s="196">
        <v>0</v>
      </c>
      <c r="I262" s="198">
        <v>0</v>
      </c>
      <c r="J262" s="404"/>
    </row>
    <row r="263" spans="1:10">
      <c r="A263" s="399" t="s">
        <v>43</v>
      </c>
      <c r="B263" s="406" t="s">
        <v>975</v>
      </c>
      <c r="C263" s="187">
        <v>0</v>
      </c>
      <c r="D263" s="189">
        <v>0</v>
      </c>
      <c r="E263" s="191">
        <v>0</v>
      </c>
      <c r="F263" s="387" t="s">
        <v>975</v>
      </c>
      <c r="G263" s="193">
        <v>0</v>
      </c>
      <c r="H263" s="195">
        <v>0</v>
      </c>
      <c r="I263" s="197">
        <v>0</v>
      </c>
      <c r="J263" s="402" t="str">
        <f>LTE_Band_filter!B6</f>
        <v>LTE_BandNone</v>
      </c>
    </row>
    <row r="264" spans="1:10">
      <c r="A264" s="405"/>
      <c r="B264" s="387"/>
      <c r="C264" s="187">
        <v>0</v>
      </c>
      <c r="D264" s="189">
        <v>0</v>
      </c>
      <c r="E264" s="191">
        <v>0</v>
      </c>
      <c r="F264" s="387"/>
      <c r="G264" s="193">
        <v>0</v>
      </c>
      <c r="H264" s="195">
        <v>0</v>
      </c>
      <c r="I264" s="197">
        <v>0</v>
      </c>
      <c r="J264" s="403"/>
    </row>
    <row r="265" spans="1:10">
      <c r="A265" s="405"/>
      <c r="B265" s="387"/>
      <c r="C265" s="187">
        <v>0</v>
      </c>
      <c r="D265" s="189">
        <v>0</v>
      </c>
      <c r="E265" s="191">
        <v>0</v>
      </c>
      <c r="F265" s="387"/>
      <c r="G265" s="193">
        <v>0</v>
      </c>
      <c r="H265" s="195">
        <v>0</v>
      </c>
      <c r="I265" s="197">
        <v>0</v>
      </c>
      <c r="J265" s="403"/>
    </row>
    <row r="266" spans="1:10">
      <c r="A266" s="405"/>
      <c r="B266" s="387"/>
      <c r="C266" s="187">
        <v>0</v>
      </c>
      <c r="D266" s="189">
        <v>0</v>
      </c>
      <c r="E266" s="191">
        <v>0</v>
      </c>
      <c r="F266" s="387"/>
      <c r="G266" s="193">
        <v>0</v>
      </c>
      <c r="H266" s="195">
        <v>0</v>
      </c>
      <c r="I266" s="197">
        <v>0</v>
      </c>
      <c r="J266" s="403"/>
    </row>
    <row r="267" spans="1:10">
      <c r="A267" s="405"/>
      <c r="B267" s="387"/>
      <c r="C267" s="187">
        <v>0</v>
      </c>
      <c r="D267" s="189">
        <v>0</v>
      </c>
      <c r="E267" s="191">
        <v>0</v>
      </c>
      <c r="F267" s="387"/>
      <c r="G267" s="193">
        <v>0</v>
      </c>
      <c r="H267" s="195">
        <v>0</v>
      </c>
      <c r="I267" s="197">
        <v>0</v>
      </c>
      <c r="J267" s="403"/>
    </row>
    <row r="268" spans="1:10" ht="15.75" thickBot="1">
      <c r="A268" s="405"/>
      <c r="B268" s="407"/>
      <c r="C268" s="188">
        <v>0</v>
      </c>
      <c r="D268" s="190">
        <v>0</v>
      </c>
      <c r="E268" s="192">
        <v>0</v>
      </c>
      <c r="F268" s="407"/>
      <c r="G268" s="194">
        <v>0</v>
      </c>
      <c r="H268" s="196">
        <v>0</v>
      </c>
      <c r="I268" s="198">
        <v>0</v>
      </c>
      <c r="J268" s="404"/>
    </row>
    <row r="269" spans="1:10">
      <c r="A269" s="399" t="s">
        <v>44</v>
      </c>
      <c r="B269" s="406" t="s">
        <v>975</v>
      </c>
      <c r="C269" s="187">
        <v>0</v>
      </c>
      <c r="D269" s="189">
        <v>0</v>
      </c>
      <c r="E269" s="191">
        <v>0</v>
      </c>
      <c r="F269" s="387" t="s">
        <v>975</v>
      </c>
      <c r="G269" s="193">
        <v>0</v>
      </c>
      <c r="H269" s="195">
        <v>0</v>
      </c>
      <c r="I269" s="197">
        <v>0</v>
      </c>
      <c r="J269" s="402" t="str">
        <f>LTE_Band_filter!B7</f>
        <v>LTE_BandNone</v>
      </c>
    </row>
    <row r="270" spans="1:10">
      <c r="A270" s="405"/>
      <c r="B270" s="387"/>
      <c r="C270" s="187">
        <v>0</v>
      </c>
      <c r="D270" s="189">
        <v>0</v>
      </c>
      <c r="E270" s="191">
        <v>0</v>
      </c>
      <c r="F270" s="387"/>
      <c r="G270" s="193">
        <v>0</v>
      </c>
      <c r="H270" s="195">
        <v>0</v>
      </c>
      <c r="I270" s="197">
        <v>0</v>
      </c>
      <c r="J270" s="403"/>
    </row>
    <row r="271" spans="1:10">
      <c r="A271" s="405"/>
      <c r="B271" s="387"/>
      <c r="C271" s="187">
        <v>0</v>
      </c>
      <c r="D271" s="189">
        <v>0</v>
      </c>
      <c r="E271" s="191">
        <v>0</v>
      </c>
      <c r="F271" s="387"/>
      <c r="G271" s="193">
        <v>0</v>
      </c>
      <c r="H271" s="195">
        <v>0</v>
      </c>
      <c r="I271" s="197">
        <v>0</v>
      </c>
      <c r="J271" s="403"/>
    </row>
    <row r="272" spans="1:10">
      <c r="A272" s="405"/>
      <c r="B272" s="387"/>
      <c r="C272" s="187">
        <v>0</v>
      </c>
      <c r="D272" s="189">
        <v>0</v>
      </c>
      <c r="E272" s="191">
        <v>0</v>
      </c>
      <c r="F272" s="387"/>
      <c r="G272" s="193">
        <v>0</v>
      </c>
      <c r="H272" s="195">
        <v>0</v>
      </c>
      <c r="I272" s="197">
        <v>0</v>
      </c>
      <c r="J272" s="403"/>
    </row>
    <row r="273" spans="1:10">
      <c r="A273" s="405"/>
      <c r="B273" s="387"/>
      <c r="C273" s="187">
        <v>0</v>
      </c>
      <c r="D273" s="189">
        <v>0</v>
      </c>
      <c r="E273" s="191">
        <v>0</v>
      </c>
      <c r="F273" s="387"/>
      <c r="G273" s="193">
        <v>0</v>
      </c>
      <c r="H273" s="195">
        <v>0</v>
      </c>
      <c r="I273" s="197">
        <v>0</v>
      </c>
      <c r="J273" s="403"/>
    </row>
    <row r="274" spans="1:10" ht="15.75" thickBot="1">
      <c r="A274" s="405"/>
      <c r="B274" s="407"/>
      <c r="C274" s="188">
        <v>0</v>
      </c>
      <c r="D274" s="190">
        <v>0</v>
      </c>
      <c r="E274" s="192">
        <v>0</v>
      </c>
      <c r="F274" s="407"/>
      <c r="G274" s="194">
        <v>0</v>
      </c>
      <c r="H274" s="196">
        <v>0</v>
      </c>
      <c r="I274" s="198">
        <v>0</v>
      </c>
      <c r="J274" s="404"/>
    </row>
    <row r="275" spans="1:10">
      <c r="A275" s="399" t="s">
        <v>45</v>
      </c>
      <c r="B275" s="406" t="s">
        <v>975</v>
      </c>
      <c r="C275" s="187">
        <v>0</v>
      </c>
      <c r="D275" s="189">
        <v>0</v>
      </c>
      <c r="E275" s="191">
        <v>0</v>
      </c>
      <c r="F275" s="387" t="s">
        <v>975</v>
      </c>
      <c r="G275" s="193">
        <v>0</v>
      </c>
      <c r="H275" s="195">
        <v>0</v>
      </c>
      <c r="I275" s="197">
        <v>0</v>
      </c>
      <c r="J275" s="402" t="str">
        <f>LTE_Band_filter!B8</f>
        <v>LTE_BandNone</v>
      </c>
    </row>
    <row r="276" spans="1:10">
      <c r="A276" s="405"/>
      <c r="B276" s="383"/>
      <c r="C276" s="187">
        <v>0</v>
      </c>
      <c r="D276" s="189">
        <v>0</v>
      </c>
      <c r="E276" s="191">
        <v>0</v>
      </c>
      <c r="F276" s="387"/>
      <c r="G276" s="193">
        <v>0</v>
      </c>
      <c r="H276" s="195">
        <v>0</v>
      </c>
      <c r="I276" s="197">
        <v>0</v>
      </c>
      <c r="J276" s="403"/>
    </row>
    <row r="277" spans="1:10">
      <c r="A277" s="405"/>
      <c r="B277" s="383"/>
      <c r="C277" s="187">
        <v>0</v>
      </c>
      <c r="D277" s="189">
        <v>0</v>
      </c>
      <c r="E277" s="191">
        <v>0</v>
      </c>
      <c r="F277" s="387"/>
      <c r="G277" s="193">
        <v>0</v>
      </c>
      <c r="H277" s="195">
        <v>0</v>
      </c>
      <c r="I277" s="197">
        <v>0</v>
      </c>
      <c r="J277" s="403"/>
    </row>
    <row r="278" spans="1:10">
      <c r="A278" s="405"/>
      <c r="B278" s="383"/>
      <c r="C278" s="187">
        <v>0</v>
      </c>
      <c r="D278" s="189">
        <v>0</v>
      </c>
      <c r="E278" s="191">
        <v>0</v>
      </c>
      <c r="F278" s="387"/>
      <c r="G278" s="193">
        <v>0</v>
      </c>
      <c r="H278" s="195">
        <v>0</v>
      </c>
      <c r="I278" s="197">
        <v>0</v>
      </c>
      <c r="J278" s="403"/>
    </row>
    <row r="279" spans="1:10">
      <c r="A279" s="405"/>
      <c r="B279" s="383"/>
      <c r="C279" s="187">
        <v>0</v>
      </c>
      <c r="D279" s="189">
        <v>0</v>
      </c>
      <c r="E279" s="191">
        <v>0</v>
      </c>
      <c r="F279" s="387"/>
      <c r="G279" s="193">
        <v>0</v>
      </c>
      <c r="H279" s="195">
        <v>0</v>
      </c>
      <c r="I279" s="197">
        <v>0</v>
      </c>
      <c r="J279" s="403"/>
    </row>
    <row r="280" spans="1:10" ht="15.75" thickBot="1">
      <c r="A280" s="405"/>
      <c r="B280" s="383"/>
      <c r="C280" s="188">
        <v>0</v>
      </c>
      <c r="D280" s="190">
        <v>0</v>
      </c>
      <c r="E280" s="192">
        <v>0</v>
      </c>
      <c r="F280" s="407"/>
      <c r="G280" s="194">
        <v>0</v>
      </c>
      <c r="H280" s="196">
        <v>0</v>
      </c>
      <c r="I280" s="198">
        <v>0</v>
      </c>
      <c r="J280" s="404"/>
    </row>
    <row r="281" spans="1:10">
      <c r="A281" s="399" t="s">
        <v>46</v>
      </c>
      <c r="B281" s="406" t="s">
        <v>975</v>
      </c>
      <c r="C281" s="187">
        <v>0</v>
      </c>
      <c r="D281" s="189">
        <v>0</v>
      </c>
      <c r="E281" s="191">
        <v>0</v>
      </c>
      <c r="F281" s="387" t="s">
        <v>975</v>
      </c>
      <c r="G281" s="193">
        <v>0</v>
      </c>
      <c r="H281" s="195">
        <v>0</v>
      </c>
      <c r="I281" s="197">
        <v>0</v>
      </c>
      <c r="J281" s="402" t="str">
        <f>LTE_Band_filter!B9</f>
        <v>LTE_BandNone</v>
      </c>
    </row>
    <row r="282" spans="1:10">
      <c r="A282" s="400"/>
      <c r="B282" s="387"/>
      <c r="C282" s="187">
        <v>0</v>
      </c>
      <c r="D282" s="189">
        <v>0</v>
      </c>
      <c r="E282" s="191">
        <v>0</v>
      </c>
      <c r="F282" s="387"/>
      <c r="G282" s="193">
        <v>0</v>
      </c>
      <c r="H282" s="195">
        <v>0</v>
      </c>
      <c r="I282" s="197">
        <v>0</v>
      </c>
      <c r="J282" s="403"/>
    </row>
    <row r="283" spans="1:10">
      <c r="A283" s="400"/>
      <c r="B283" s="387"/>
      <c r="C283" s="187">
        <v>0</v>
      </c>
      <c r="D283" s="189">
        <v>0</v>
      </c>
      <c r="E283" s="191">
        <v>0</v>
      </c>
      <c r="F283" s="387"/>
      <c r="G283" s="193">
        <v>0</v>
      </c>
      <c r="H283" s="195">
        <v>0</v>
      </c>
      <c r="I283" s="197">
        <v>0</v>
      </c>
      <c r="J283" s="403"/>
    </row>
    <row r="284" spans="1:10">
      <c r="A284" s="400"/>
      <c r="B284" s="387"/>
      <c r="C284" s="187">
        <v>0</v>
      </c>
      <c r="D284" s="189">
        <v>0</v>
      </c>
      <c r="E284" s="191">
        <v>0</v>
      </c>
      <c r="F284" s="387"/>
      <c r="G284" s="193">
        <v>0</v>
      </c>
      <c r="H284" s="195">
        <v>0</v>
      </c>
      <c r="I284" s="197">
        <v>0</v>
      </c>
      <c r="J284" s="403"/>
    </row>
    <row r="285" spans="1:10">
      <c r="A285" s="400"/>
      <c r="B285" s="387"/>
      <c r="C285" s="187">
        <v>0</v>
      </c>
      <c r="D285" s="189">
        <v>0</v>
      </c>
      <c r="E285" s="191">
        <v>0</v>
      </c>
      <c r="F285" s="387"/>
      <c r="G285" s="193">
        <v>0</v>
      </c>
      <c r="H285" s="195">
        <v>0</v>
      </c>
      <c r="I285" s="197">
        <v>0</v>
      </c>
      <c r="J285" s="403"/>
    </row>
    <row r="286" spans="1:10" ht="15.75" thickBot="1">
      <c r="A286" s="401"/>
      <c r="B286" s="407"/>
      <c r="C286" s="188">
        <v>0</v>
      </c>
      <c r="D286" s="190">
        <v>0</v>
      </c>
      <c r="E286" s="192">
        <v>0</v>
      </c>
      <c r="F286" s="407"/>
      <c r="G286" s="194">
        <v>0</v>
      </c>
      <c r="H286" s="196">
        <v>0</v>
      </c>
      <c r="I286" s="198">
        <v>0</v>
      </c>
      <c r="J286" s="404"/>
    </row>
    <row r="287" spans="1:10" ht="15.75" thickBot="1">
      <c r="A287" s="15" t="s">
        <v>572</v>
      </c>
    </row>
    <row r="289" spans="1:4" ht="15.75" thickBot="1"/>
    <row r="290" spans="1:4" ht="15.75" thickBot="1">
      <c r="A290" s="363" t="s">
        <v>1458</v>
      </c>
      <c r="B290" s="364"/>
      <c r="C290" s="364"/>
      <c r="D290" s="364"/>
    </row>
    <row r="291" spans="1:4" ht="90.75" thickBot="1">
      <c r="A291" s="365" t="s">
        <v>1459</v>
      </c>
      <c r="B291" s="365" t="s">
        <v>1460</v>
      </c>
      <c r="C291" s="366" t="s">
        <v>1461</v>
      </c>
      <c r="D291" s="364"/>
    </row>
    <row r="292" spans="1:4">
      <c r="A292" s="367" t="s">
        <v>10</v>
      </c>
      <c r="B292" s="368">
        <v>5</v>
      </c>
      <c r="C292" s="368" t="s">
        <v>1462</v>
      </c>
      <c r="D292" s="369" t="s">
        <v>1463</v>
      </c>
    </row>
    <row r="293" spans="1:4">
      <c r="A293" s="370" t="s">
        <v>15</v>
      </c>
      <c r="B293" s="371">
        <v>0</v>
      </c>
      <c r="C293" s="371">
        <v>0</v>
      </c>
      <c r="D293" s="372" t="s">
        <v>1464</v>
      </c>
    </row>
    <row r="294" spans="1:4">
      <c r="A294" s="370" t="s">
        <v>15</v>
      </c>
      <c r="B294" s="371">
        <v>0</v>
      </c>
      <c r="C294" s="371">
        <v>0</v>
      </c>
      <c r="D294" s="372" t="s">
        <v>1465</v>
      </c>
    </row>
    <row r="295" spans="1:4">
      <c r="A295" s="370" t="s">
        <v>15</v>
      </c>
      <c r="B295" s="371">
        <v>0</v>
      </c>
      <c r="C295" s="371">
        <v>0</v>
      </c>
      <c r="D295" s="372" t="s">
        <v>1466</v>
      </c>
    </row>
    <row r="296" spans="1:4">
      <c r="A296" s="370" t="s">
        <v>15</v>
      </c>
      <c r="B296" s="371">
        <v>0</v>
      </c>
      <c r="C296" s="371">
        <v>0</v>
      </c>
      <c r="D296" s="372" t="s">
        <v>1467</v>
      </c>
    </row>
    <row r="297" spans="1:4">
      <c r="A297" s="370" t="s">
        <v>15</v>
      </c>
      <c r="B297" s="371">
        <v>0</v>
      </c>
      <c r="C297" s="371">
        <v>0</v>
      </c>
      <c r="D297" s="372" t="s">
        <v>1468</v>
      </c>
    </row>
    <row r="298" spans="1:4">
      <c r="A298" s="370" t="s">
        <v>15</v>
      </c>
      <c r="B298" s="371">
        <v>0</v>
      </c>
      <c r="C298" s="371">
        <v>0</v>
      </c>
      <c r="D298" s="372" t="s">
        <v>1469</v>
      </c>
    </row>
    <row r="299" spans="1:4">
      <c r="A299" s="370" t="s">
        <v>15</v>
      </c>
      <c r="B299" s="371">
        <v>0</v>
      </c>
      <c r="C299" s="371">
        <v>0</v>
      </c>
      <c r="D299" s="372" t="s">
        <v>1470</v>
      </c>
    </row>
    <row r="300" spans="1:4">
      <c r="A300" s="370" t="s">
        <v>15</v>
      </c>
      <c r="B300" s="371">
        <v>0</v>
      </c>
      <c r="C300" s="371">
        <v>0</v>
      </c>
      <c r="D300" s="372" t="s">
        <v>1471</v>
      </c>
    </row>
    <row r="301" spans="1:4">
      <c r="A301" s="370" t="s">
        <v>15</v>
      </c>
      <c r="B301" s="371">
        <v>0</v>
      </c>
      <c r="C301" s="371">
        <v>0</v>
      </c>
      <c r="D301" s="372" t="s">
        <v>1472</v>
      </c>
    </row>
    <row r="302" spans="1:4">
      <c r="A302" s="370" t="s">
        <v>15</v>
      </c>
      <c r="B302" s="371">
        <v>0</v>
      </c>
      <c r="C302" s="371">
        <v>0</v>
      </c>
      <c r="D302" s="372" t="s">
        <v>1473</v>
      </c>
    </row>
    <row r="303" spans="1:4">
      <c r="A303" s="370" t="s">
        <v>15</v>
      </c>
      <c r="B303" s="371">
        <v>0</v>
      </c>
      <c r="C303" s="371">
        <v>0</v>
      </c>
      <c r="D303" s="372" t="s">
        <v>1474</v>
      </c>
    </row>
    <row r="304" spans="1:4">
      <c r="A304" s="370" t="s">
        <v>15</v>
      </c>
      <c r="B304" s="371">
        <v>0</v>
      </c>
      <c r="C304" s="371">
        <v>0</v>
      </c>
      <c r="D304" s="372" t="s">
        <v>1475</v>
      </c>
    </row>
    <row r="305" spans="1:4">
      <c r="A305" s="370" t="s">
        <v>15</v>
      </c>
      <c r="B305" s="371">
        <v>0</v>
      </c>
      <c r="C305" s="371">
        <v>0</v>
      </c>
      <c r="D305" s="372" t="s">
        <v>1476</v>
      </c>
    </row>
    <row r="306" spans="1:4">
      <c r="A306" s="370" t="s">
        <v>15</v>
      </c>
      <c r="B306" s="371">
        <v>0</v>
      </c>
      <c r="C306" s="371">
        <v>0</v>
      </c>
      <c r="D306" s="372" t="s">
        <v>1477</v>
      </c>
    </row>
    <row r="307" spans="1:4">
      <c r="A307" s="370" t="s">
        <v>15</v>
      </c>
      <c r="B307" s="371">
        <v>0</v>
      </c>
      <c r="C307" s="371">
        <v>0</v>
      </c>
      <c r="D307" s="372" t="s">
        <v>1478</v>
      </c>
    </row>
    <row r="308" spans="1:4">
      <c r="A308" s="370" t="s">
        <v>15</v>
      </c>
      <c r="B308" s="371">
        <v>0</v>
      </c>
      <c r="C308" s="371">
        <v>0</v>
      </c>
      <c r="D308" s="372" t="s">
        <v>1479</v>
      </c>
    </row>
    <row r="309" spans="1:4">
      <c r="A309" s="370" t="s">
        <v>15</v>
      </c>
      <c r="B309" s="371">
        <v>0</v>
      </c>
      <c r="C309" s="371">
        <v>0</v>
      </c>
      <c r="D309" s="372" t="s">
        <v>1480</v>
      </c>
    </row>
    <row r="310" spans="1:4">
      <c r="A310" s="370" t="s">
        <v>15</v>
      </c>
      <c r="B310" s="371">
        <v>0</v>
      </c>
      <c r="C310" s="371">
        <v>0</v>
      </c>
      <c r="D310" s="372" t="s">
        <v>1481</v>
      </c>
    </row>
    <row r="311" spans="1:4">
      <c r="A311" s="370" t="s">
        <v>15</v>
      </c>
      <c r="B311" s="371">
        <v>0</v>
      </c>
      <c r="C311" s="371">
        <v>0</v>
      </c>
      <c r="D311" s="372" t="s">
        <v>1482</v>
      </c>
    </row>
    <row r="312" spans="1:4">
      <c r="A312" s="370" t="s">
        <v>15</v>
      </c>
      <c r="B312" s="371">
        <v>0</v>
      </c>
      <c r="C312" s="371">
        <v>0</v>
      </c>
      <c r="D312" s="372" t="s">
        <v>1483</v>
      </c>
    </row>
    <row r="313" spans="1:4">
      <c r="A313" s="370" t="s">
        <v>15</v>
      </c>
      <c r="B313" s="371">
        <v>0</v>
      </c>
      <c r="C313" s="371">
        <v>0</v>
      </c>
      <c r="D313" s="372" t="s">
        <v>1484</v>
      </c>
    </row>
    <row r="314" spans="1:4">
      <c r="A314" s="370" t="s">
        <v>15</v>
      </c>
      <c r="B314" s="371">
        <v>0</v>
      </c>
      <c r="C314" s="371">
        <v>0</v>
      </c>
      <c r="D314" s="372" t="s">
        <v>1485</v>
      </c>
    </row>
    <row r="315" spans="1:4">
      <c r="A315" s="370" t="s">
        <v>15</v>
      </c>
      <c r="B315" s="371">
        <v>0</v>
      </c>
      <c r="C315" s="371">
        <v>0</v>
      </c>
      <c r="D315" s="372" t="s">
        <v>1486</v>
      </c>
    </row>
    <row r="316" spans="1:4">
      <c r="A316" s="370" t="s">
        <v>15</v>
      </c>
      <c r="B316" s="371">
        <v>0</v>
      </c>
      <c r="C316" s="371">
        <v>0</v>
      </c>
      <c r="D316" s="372" t="s">
        <v>1487</v>
      </c>
    </row>
    <row r="317" spans="1:4">
      <c r="A317" s="370" t="s">
        <v>15</v>
      </c>
      <c r="B317" s="371">
        <v>0</v>
      </c>
      <c r="C317" s="371">
        <v>0</v>
      </c>
      <c r="D317" s="372" t="s">
        <v>1488</v>
      </c>
    </row>
    <row r="318" spans="1:4">
      <c r="A318" s="370" t="s">
        <v>15</v>
      </c>
      <c r="B318" s="371">
        <v>0</v>
      </c>
      <c r="C318" s="371">
        <v>0</v>
      </c>
      <c r="D318" s="372" t="s">
        <v>1489</v>
      </c>
    </row>
    <row r="319" spans="1:4">
      <c r="A319" s="370" t="s">
        <v>15</v>
      </c>
      <c r="B319" s="371">
        <v>0</v>
      </c>
      <c r="C319" s="371">
        <v>0</v>
      </c>
      <c r="D319" s="372" t="s">
        <v>1490</v>
      </c>
    </row>
    <row r="320" spans="1:4">
      <c r="A320" s="370" t="s">
        <v>15</v>
      </c>
      <c r="B320" s="371">
        <v>0</v>
      </c>
      <c r="C320" s="371">
        <v>0</v>
      </c>
      <c r="D320" s="372" t="s">
        <v>1491</v>
      </c>
    </row>
    <row r="321" spans="1:11">
      <c r="A321" s="370" t="s">
        <v>15</v>
      </c>
      <c r="B321" s="371">
        <v>0</v>
      </c>
      <c r="C321" s="371">
        <v>0</v>
      </c>
      <c r="D321" s="372" t="s">
        <v>1492</v>
      </c>
    </row>
    <row r="322" spans="1:11">
      <c r="A322" s="370" t="s">
        <v>15</v>
      </c>
      <c r="B322" s="371">
        <v>0</v>
      </c>
      <c r="C322" s="371">
        <v>0</v>
      </c>
      <c r="D322" s="372" t="s">
        <v>1493</v>
      </c>
      <c r="K322" s="123"/>
    </row>
    <row r="323" spans="1:11">
      <c r="A323" s="370" t="s">
        <v>15</v>
      </c>
      <c r="B323" s="371">
        <v>0</v>
      </c>
      <c r="C323" s="371">
        <v>0</v>
      </c>
      <c r="D323" s="372" t="s">
        <v>1494</v>
      </c>
    </row>
    <row r="324" spans="1:11">
      <c r="A324" s="370" t="s">
        <v>15</v>
      </c>
      <c r="B324" s="371">
        <v>0</v>
      </c>
      <c r="C324" s="371">
        <v>0</v>
      </c>
      <c r="D324" s="372" t="s">
        <v>1495</v>
      </c>
    </row>
    <row r="325" spans="1:11">
      <c r="A325" s="370" t="s">
        <v>15</v>
      </c>
      <c r="B325" s="371">
        <v>0</v>
      </c>
      <c r="C325" s="371">
        <v>0</v>
      </c>
      <c r="D325" s="372" t="s">
        <v>1496</v>
      </c>
    </row>
    <row r="326" spans="1:11">
      <c r="A326" s="370" t="s">
        <v>15</v>
      </c>
      <c r="B326" s="371">
        <v>0</v>
      </c>
      <c r="C326" s="371">
        <v>0</v>
      </c>
      <c r="D326" s="372" t="s">
        <v>1497</v>
      </c>
    </row>
    <row r="327" spans="1:11">
      <c r="A327" s="370" t="s">
        <v>15</v>
      </c>
      <c r="B327" s="371">
        <v>0</v>
      </c>
      <c r="C327" s="371">
        <v>0</v>
      </c>
      <c r="D327" s="372" t="s">
        <v>1498</v>
      </c>
    </row>
    <row r="328" spans="1:11">
      <c r="A328" s="370" t="s">
        <v>15</v>
      </c>
      <c r="B328" s="371">
        <v>0</v>
      </c>
      <c r="C328" s="371">
        <v>0</v>
      </c>
      <c r="D328" s="372" t="s">
        <v>1499</v>
      </c>
    </row>
    <row r="329" spans="1:11">
      <c r="A329" s="370" t="s">
        <v>15</v>
      </c>
      <c r="B329" s="371">
        <v>0</v>
      </c>
      <c r="C329" s="371">
        <v>0</v>
      </c>
      <c r="D329" s="372" t="s">
        <v>1500</v>
      </c>
    </row>
    <row r="330" spans="1:11">
      <c r="A330" s="370" t="s">
        <v>15</v>
      </c>
      <c r="B330" s="371">
        <v>0</v>
      </c>
      <c r="C330" s="371">
        <v>0</v>
      </c>
      <c r="D330" s="372" t="s">
        <v>1501</v>
      </c>
    </row>
    <row r="331" spans="1:11">
      <c r="A331" s="370" t="s">
        <v>15</v>
      </c>
      <c r="B331" s="371">
        <v>0</v>
      </c>
      <c r="C331" s="371">
        <v>0</v>
      </c>
      <c r="D331" s="372" t="s">
        <v>1502</v>
      </c>
    </row>
    <row r="332" spans="1:11">
      <c r="A332" s="370" t="s">
        <v>15</v>
      </c>
      <c r="B332" s="371">
        <v>0</v>
      </c>
      <c r="C332" s="371">
        <v>0</v>
      </c>
      <c r="D332" s="372" t="s">
        <v>1503</v>
      </c>
    </row>
    <row r="333" spans="1:11">
      <c r="A333" s="370" t="s">
        <v>15</v>
      </c>
      <c r="B333" s="371">
        <v>0</v>
      </c>
      <c r="C333" s="371">
        <v>0</v>
      </c>
      <c r="D333" s="372" t="s">
        <v>1504</v>
      </c>
    </row>
    <row r="334" spans="1:11">
      <c r="A334" s="370" t="s">
        <v>15</v>
      </c>
      <c r="B334" s="371">
        <v>0</v>
      </c>
      <c r="C334" s="371">
        <v>0</v>
      </c>
      <c r="D334" s="372" t="s">
        <v>1505</v>
      </c>
    </row>
    <row r="335" spans="1:11">
      <c r="A335" s="370" t="s">
        <v>15</v>
      </c>
      <c r="B335" s="371">
        <v>0</v>
      </c>
      <c r="C335" s="371">
        <v>0</v>
      </c>
      <c r="D335" s="372" t="s">
        <v>1506</v>
      </c>
    </row>
    <row r="336" spans="1:11">
      <c r="A336" s="370" t="s">
        <v>15</v>
      </c>
      <c r="B336" s="371">
        <v>0</v>
      </c>
      <c r="C336" s="371">
        <v>0</v>
      </c>
      <c r="D336" s="372" t="s">
        <v>1507</v>
      </c>
    </row>
    <row r="337" spans="1:4">
      <c r="A337" s="370" t="s">
        <v>15</v>
      </c>
      <c r="B337" s="371">
        <v>0</v>
      </c>
      <c r="C337" s="371">
        <v>0</v>
      </c>
      <c r="D337" s="372" t="s">
        <v>1508</v>
      </c>
    </row>
    <row r="338" spans="1:4">
      <c r="A338" s="370" t="s">
        <v>15</v>
      </c>
      <c r="B338" s="371">
        <v>0</v>
      </c>
      <c r="C338" s="371">
        <v>0</v>
      </c>
      <c r="D338" s="372" t="s">
        <v>1509</v>
      </c>
    </row>
    <row r="339" spans="1:4">
      <c r="A339" s="370" t="s">
        <v>15</v>
      </c>
      <c r="B339" s="371">
        <v>0</v>
      </c>
      <c r="C339" s="371">
        <v>0</v>
      </c>
      <c r="D339" s="372" t="s">
        <v>1510</v>
      </c>
    </row>
    <row r="340" spans="1:4">
      <c r="A340" s="370" t="s">
        <v>15</v>
      </c>
      <c r="B340" s="371">
        <v>0</v>
      </c>
      <c r="C340" s="371">
        <v>0</v>
      </c>
      <c r="D340" s="372" t="s">
        <v>1511</v>
      </c>
    </row>
    <row r="341" spans="1:4" ht="15.75" thickBot="1">
      <c r="A341" s="373" t="s">
        <v>15</v>
      </c>
      <c r="B341" s="374">
        <v>0</v>
      </c>
      <c r="C341" s="374">
        <v>0</v>
      </c>
      <c r="D341" s="375" t="s">
        <v>1512</v>
      </c>
    </row>
  </sheetData>
  <sheetProtection algorithmName="SHA-512" hashValue="aaXlZuNt1UOb8Mb5AQYXaFyeOyTCXzBR7s7BDUVHr4xjeVmttWz6yxg+gS70XL7hhkVWUSgKIyY6oO5m4tKgRA==" saltValue="6mPGWQhbZjHePxlaWPMY7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1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1269</v>
      </c>
    </row>
    <row r="4" spans="1:5">
      <c r="A4" s="136" t="s">
        <v>832</v>
      </c>
    </row>
    <row r="5" spans="1:5" ht="15.75" thickBot="1"/>
    <row r="6" spans="1:5">
      <c r="A6" s="22" t="s">
        <v>1024</v>
      </c>
      <c r="B6" s="68"/>
    </row>
    <row r="7" spans="1:5" ht="15.75" thickBot="1">
      <c r="A7" s="88" t="s">
        <v>1313</v>
      </c>
      <c r="B7" s="89" t="s">
        <v>733</v>
      </c>
      <c r="C7" s="89" t="s">
        <v>734</v>
      </c>
      <c r="D7" s="89" t="s">
        <v>1104</v>
      </c>
      <c r="E7" s="90" t="s">
        <v>1105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1026</v>
      </c>
      <c r="E8" s="381">
        <v>4</v>
      </c>
    </row>
    <row r="9" spans="1:5">
      <c r="A9" s="100" t="s">
        <v>1027</v>
      </c>
      <c r="B9" s="16" t="s">
        <v>11</v>
      </c>
      <c r="C9" s="16" t="s">
        <v>11</v>
      </c>
      <c r="D9" s="14" t="s">
        <v>1026</v>
      </c>
      <c r="E9" s="82"/>
    </row>
    <row r="10" spans="1:5">
      <c r="A10" s="100" t="s">
        <v>1028</v>
      </c>
      <c r="B10" s="16"/>
      <c r="C10" s="16"/>
      <c r="D10" s="14" t="s">
        <v>1026</v>
      </c>
      <c r="E10" s="82"/>
    </row>
    <row r="11" spans="1:5">
      <c r="A11" s="100" t="s">
        <v>1029</v>
      </c>
      <c r="B11" s="16"/>
      <c r="C11" s="16"/>
      <c r="D11" s="14" t="s">
        <v>1026</v>
      </c>
      <c r="E11" s="82"/>
    </row>
    <row r="12" spans="1:5" ht="15.75" thickBot="1">
      <c r="A12" s="5"/>
    </row>
    <row r="13" spans="1:5">
      <c r="A13" s="91" t="s">
        <v>1030</v>
      </c>
    </row>
    <row r="14" spans="1:5" ht="15.75" thickBot="1">
      <c r="A14" s="88" t="s">
        <v>1314</v>
      </c>
      <c r="B14" s="89" t="s">
        <v>733</v>
      </c>
      <c r="C14" s="89" t="s">
        <v>734</v>
      </c>
      <c r="D14" s="89" t="s">
        <v>1104</v>
      </c>
      <c r="E14" s="90" t="s">
        <v>1106</v>
      </c>
    </row>
    <row r="15" spans="1:5" ht="15.75" thickBot="1">
      <c r="A15" s="100" t="s">
        <v>1031</v>
      </c>
      <c r="B15" s="16" t="s">
        <v>11</v>
      </c>
      <c r="C15" s="16" t="s">
        <v>11</v>
      </c>
      <c r="D15" s="14" t="s">
        <v>1032</v>
      </c>
      <c r="E15" s="382">
        <v>4</v>
      </c>
    </row>
    <row r="16" spans="1:5">
      <c r="A16" s="100" t="s">
        <v>1033</v>
      </c>
      <c r="B16" s="16" t="s">
        <v>11</v>
      </c>
      <c r="C16" s="16" t="s">
        <v>11</v>
      </c>
      <c r="D16" s="14" t="s">
        <v>1032</v>
      </c>
      <c r="E16" s="81"/>
    </row>
    <row r="17" spans="1:5">
      <c r="A17" s="100" t="s">
        <v>1034</v>
      </c>
      <c r="B17" s="16" t="s">
        <v>11</v>
      </c>
      <c r="C17" s="16" t="s">
        <v>11</v>
      </c>
      <c r="D17" s="14" t="s">
        <v>1032</v>
      </c>
      <c r="E17" s="81"/>
    </row>
    <row r="18" spans="1:5">
      <c r="A18" s="100" t="s">
        <v>1035</v>
      </c>
      <c r="B18" s="16" t="s">
        <v>11</v>
      </c>
      <c r="C18" s="16" t="s">
        <v>11</v>
      </c>
      <c r="D18" s="14" t="s">
        <v>1032</v>
      </c>
      <c r="E18" s="81"/>
    </row>
    <row r="19" spans="1:5">
      <c r="A19" s="100" t="s">
        <v>1036</v>
      </c>
      <c r="B19" s="16" t="s">
        <v>11</v>
      </c>
      <c r="C19" s="16" t="s">
        <v>11</v>
      </c>
      <c r="D19" s="14" t="s">
        <v>1032</v>
      </c>
      <c r="E19" s="81"/>
    </row>
    <row r="20" spans="1:5">
      <c r="A20" s="100" t="s">
        <v>1037</v>
      </c>
      <c r="B20" s="16" t="s">
        <v>11</v>
      </c>
      <c r="C20" s="16" t="s">
        <v>11</v>
      </c>
      <c r="D20" s="14" t="s">
        <v>1032</v>
      </c>
      <c r="E20" s="81"/>
    </row>
    <row r="21" spans="1:5">
      <c r="A21" s="100" t="s">
        <v>1038</v>
      </c>
      <c r="B21" s="16" t="s">
        <v>11</v>
      </c>
      <c r="C21" s="16" t="s">
        <v>11</v>
      </c>
      <c r="D21" s="14" t="s">
        <v>1032</v>
      </c>
      <c r="E21" s="81"/>
    </row>
    <row r="22" spans="1:5">
      <c r="A22" s="100" t="s">
        <v>1039</v>
      </c>
      <c r="B22" s="16" t="s">
        <v>11</v>
      </c>
      <c r="C22" s="16" t="s">
        <v>11</v>
      </c>
      <c r="D22" s="14" t="s">
        <v>1032</v>
      </c>
      <c r="E22" s="81"/>
    </row>
    <row r="23" spans="1:5">
      <c r="A23" s="100" t="s">
        <v>1040</v>
      </c>
      <c r="B23" s="16"/>
      <c r="C23" s="16"/>
      <c r="D23" s="14"/>
      <c r="E23" s="81"/>
    </row>
    <row r="24" spans="1:5">
      <c r="A24" s="100" t="s">
        <v>1041</v>
      </c>
      <c r="B24" s="16"/>
      <c r="C24" s="16"/>
      <c r="D24" s="14"/>
      <c r="E24" s="81"/>
    </row>
    <row r="25" spans="1:5">
      <c r="A25" s="100" t="s">
        <v>1042</v>
      </c>
      <c r="B25" s="16"/>
      <c r="C25" s="16"/>
      <c r="D25" s="14"/>
      <c r="E25" s="81"/>
    </row>
    <row r="26" spans="1:5">
      <c r="A26" s="100" t="s">
        <v>1043</v>
      </c>
      <c r="B26" s="16"/>
      <c r="C26" s="16"/>
      <c r="D26" s="14"/>
      <c r="E26" s="81"/>
    </row>
    <row r="27" spans="1:5">
      <c r="A27" s="100" t="s">
        <v>1044</v>
      </c>
      <c r="B27" s="16"/>
      <c r="C27" s="16"/>
      <c r="D27" s="14"/>
      <c r="E27" s="81"/>
    </row>
    <row r="28" spans="1:5">
      <c r="A28" s="100" t="s">
        <v>1045</v>
      </c>
      <c r="B28" s="16"/>
      <c r="C28" s="16"/>
      <c r="D28" s="14"/>
      <c r="E28" s="81"/>
    </row>
    <row r="29" spans="1:5">
      <c r="A29" s="100" t="s">
        <v>1046</v>
      </c>
      <c r="B29" s="16"/>
      <c r="C29" s="16"/>
      <c r="D29" s="14"/>
      <c r="E29" s="81"/>
    </row>
    <row r="30" spans="1:5">
      <c r="A30" s="100" t="s">
        <v>1047</v>
      </c>
      <c r="B30" s="16"/>
      <c r="C30" s="16"/>
      <c r="D30" s="14"/>
      <c r="E30" s="81"/>
    </row>
    <row r="31" spans="1:5">
      <c r="A31" s="100" t="s">
        <v>1048</v>
      </c>
      <c r="B31" s="16"/>
      <c r="C31" s="16"/>
      <c r="D31" s="14"/>
      <c r="E31" s="81"/>
    </row>
    <row r="32" spans="1:5">
      <c r="A32" s="100" t="s">
        <v>1049</v>
      </c>
      <c r="B32" s="16"/>
      <c r="C32" s="16"/>
      <c r="D32" s="14"/>
      <c r="E32" s="81"/>
    </row>
    <row r="33" spans="1:5">
      <c r="A33" s="100" t="s">
        <v>1050</v>
      </c>
      <c r="B33" s="16"/>
      <c r="C33" s="16"/>
      <c r="D33" s="14"/>
      <c r="E33" s="81"/>
    </row>
    <row r="34" spans="1:5">
      <c r="A34" s="100" t="s">
        <v>1051</v>
      </c>
      <c r="B34" s="16"/>
      <c r="C34" s="16"/>
      <c r="D34" s="14"/>
      <c r="E34" s="81"/>
    </row>
    <row r="35" spans="1:5">
      <c r="A35" s="100" t="s">
        <v>1052</v>
      </c>
      <c r="B35" s="16"/>
      <c r="C35" s="16"/>
      <c r="D35" s="14"/>
      <c r="E35" s="81"/>
    </row>
    <row r="36" spans="1:5">
      <c r="A36" s="100" t="s">
        <v>1053</v>
      </c>
      <c r="B36" s="16"/>
      <c r="C36" s="16"/>
      <c r="D36" s="14"/>
      <c r="E36" s="81"/>
    </row>
    <row r="37" spans="1:5">
      <c r="A37" s="100" t="s">
        <v>1054</v>
      </c>
      <c r="B37" s="16"/>
      <c r="C37" s="16"/>
      <c r="D37" s="14"/>
      <c r="E37" s="81"/>
    </row>
    <row r="38" spans="1:5">
      <c r="A38" s="100" t="s">
        <v>1055</v>
      </c>
      <c r="B38" s="16"/>
      <c r="C38" s="16"/>
      <c r="D38" s="14"/>
      <c r="E38" s="81"/>
    </row>
    <row r="39" spans="1:5">
      <c r="A39" s="100" t="s">
        <v>1056</v>
      </c>
      <c r="B39" s="16"/>
      <c r="C39" s="16"/>
      <c r="D39" s="14"/>
      <c r="E39" s="81"/>
    </row>
    <row r="40" spans="1:5">
      <c r="A40" s="100" t="s">
        <v>1057</v>
      </c>
      <c r="B40" s="16"/>
      <c r="C40" s="16"/>
      <c r="D40" s="14"/>
      <c r="E40" s="81"/>
    </row>
    <row r="41" spans="1:5">
      <c r="A41" s="100" t="s">
        <v>1058</v>
      </c>
      <c r="B41" s="16"/>
      <c r="C41" s="16"/>
      <c r="D41" s="14"/>
      <c r="E41" s="81"/>
    </row>
    <row r="42" spans="1:5">
      <c r="A42" s="100" t="s">
        <v>1059</v>
      </c>
      <c r="B42" s="16"/>
      <c r="C42" s="16"/>
      <c r="D42" s="14"/>
      <c r="E42" s="81"/>
    </row>
    <row r="43" spans="1:5">
      <c r="A43" s="100" t="s">
        <v>1060</v>
      </c>
      <c r="B43" s="16"/>
      <c r="C43" s="16"/>
      <c r="D43" s="14"/>
      <c r="E43" s="81"/>
    </row>
    <row r="44" spans="1:5">
      <c r="A44" s="100" t="s">
        <v>1061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apAtTNXOCydgCpiEulZz+cvpVQHZJj+Fq8E/irMu0CS1YYTVsbOpaE0Me3z8Tp0yJ7IJEgKvumm/MsKV0zFQRg==" saltValue="8AyV019WJ0ABs2RCdQ8cUg==" spinCount="100000" sheet="1" objects="1" scenarios="1"/>
  <phoneticPr fontId="11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1062</v>
      </c>
    </row>
    <row r="3" spans="1:19">
      <c r="A3" s="16" t="s">
        <v>1262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88" t="s">
        <v>1408</v>
      </c>
      <c r="E6" s="389"/>
      <c r="F6" s="388" t="s">
        <v>1409</v>
      </c>
      <c r="G6" s="389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741</v>
      </c>
      <c r="D7" s="2" t="s">
        <v>1107</v>
      </c>
      <c r="E7" s="93" t="s">
        <v>1205</v>
      </c>
      <c r="F7" s="2" t="s">
        <v>1206</v>
      </c>
      <c r="G7" s="93" t="s">
        <v>1108</v>
      </c>
      <c r="H7" s="3" t="s">
        <v>1347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1169</v>
      </c>
      <c r="E8" s="16" t="s">
        <v>1170</v>
      </c>
      <c r="F8" s="16" t="s">
        <v>1169</v>
      </c>
      <c r="G8" s="16" t="s">
        <v>1170</v>
      </c>
      <c r="H8" s="66" t="s">
        <v>1063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1169</v>
      </c>
      <c r="E9" s="16" t="s">
        <v>1170</v>
      </c>
      <c r="F9" s="16" t="s">
        <v>1169</v>
      </c>
      <c r="G9" s="16" t="s">
        <v>1170</v>
      </c>
      <c r="H9" s="66" t="s">
        <v>1064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66" t="s">
        <v>1065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66" t="s">
        <v>1066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66" t="s">
        <v>1067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66" t="s">
        <v>1068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66" t="s">
        <v>1069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66" t="s">
        <v>1070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66" t="s">
        <v>1071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66" t="s">
        <v>1072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66" t="s">
        <v>1073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66" t="s">
        <v>1074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66" t="s">
        <v>1075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66" t="s">
        <v>1076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66" t="s">
        <v>1077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66" t="s">
        <v>1078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66" t="s">
        <v>1079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66" t="s">
        <v>1080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66" t="s">
        <v>1081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1082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1083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1084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1085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1086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1087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88" t="s">
        <v>1408</v>
      </c>
      <c r="E36" s="389"/>
      <c r="F36" s="388" t="s">
        <v>1409</v>
      </c>
      <c r="G36" s="389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1088</v>
      </c>
      <c r="B37" s="2" t="s">
        <v>289</v>
      </c>
      <c r="C37" s="2" t="s">
        <v>741</v>
      </c>
      <c r="D37" s="2" t="s">
        <v>1107</v>
      </c>
      <c r="E37" s="93" t="s">
        <v>1205</v>
      </c>
      <c r="F37" s="2" t="s">
        <v>1206</v>
      </c>
      <c r="G37" s="93" t="s">
        <v>1108</v>
      </c>
      <c r="H37" s="3" t="s">
        <v>1347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1089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1090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1091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1092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1093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1094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1095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1096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1097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1098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1099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1100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1101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1102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1103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88" t="s">
        <v>1408</v>
      </c>
      <c r="G57" s="389"/>
      <c r="H57" s="388" t="s">
        <v>1409</v>
      </c>
      <c r="I57" s="389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1247</v>
      </c>
      <c r="C58" s="96" t="s">
        <v>1311</v>
      </c>
      <c r="D58" s="72" t="s">
        <v>682</v>
      </c>
      <c r="E58" s="72" t="s">
        <v>166</v>
      </c>
      <c r="F58" s="72" t="s">
        <v>1249</v>
      </c>
      <c r="G58" s="75" t="s">
        <v>1250</v>
      </c>
      <c r="H58" s="72" t="s">
        <v>1251</v>
      </c>
      <c r="I58" s="75" t="s">
        <v>1252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1" t="s">
        <v>571</v>
      </c>
      <c r="B59" s="387"/>
      <c r="C59" s="387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1"/>
      <c r="B60" s="387"/>
      <c r="C60" s="387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1"/>
      <c r="B61" s="387"/>
      <c r="C61" s="387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1"/>
      <c r="B62" s="387"/>
      <c r="C62" s="387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1" t="s">
        <v>561</v>
      </c>
      <c r="B63" s="387"/>
      <c r="C63" s="387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1"/>
      <c r="B64" s="387"/>
      <c r="C64" s="387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1"/>
      <c r="B65" s="387"/>
      <c r="C65" s="387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1"/>
      <c r="B66" s="387"/>
      <c r="C66" s="387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1" t="s">
        <v>562</v>
      </c>
      <c r="B67" s="387"/>
      <c r="C67" s="387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1"/>
      <c r="B68" s="387"/>
      <c r="C68" s="387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1"/>
      <c r="B69" s="387"/>
      <c r="C69" s="387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1"/>
      <c r="B70" s="387"/>
      <c r="C70" s="387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1" t="s">
        <v>563</v>
      </c>
      <c r="B71" s="387"/>
      <c r="C71" s="387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1"/>
      <c r="B72" s="387"/>
      <c r="C72" s="387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1"/>
      <c r="B73" s="387"/>
      <c r="C73" s="387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1"/>
      <c r="B74" s="387"/>
      <c r="C74" s="387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1" t="s">
        <v>564</v>
      </c>
      <c r="B75" s="387"/>
      <c r="C75" s="387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1"/>
      <c r="B76" s="387"/>
      <c r="C76" s="387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1"/>
      <c r="B77" s="387"/>
      <c r="C77" s="387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1"/>
      <c r="B78" s="387"/>
      <c r="C78" s="387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1" t="s">
        <v>565</v>
      </c>
      <c r="B79" s="387"/>
      <c r="C79" s="387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1"/>
      <c r="B80" s="387"/>
      <c r="C80" s="387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1"/>
      <c r="B81" s="387"/>
      <c r="C81" s="387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1"/>
      <c r="B82" s="387"/>
      <c r="C82" s="387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1" t="s">
        <v>566</v>
      </c>
      <c r="B83" s="387"/>
      <c r="C83" s="387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1"/>
      <c r="B84" s="387"/>
      <c r="C84" s="387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1"/>
      <c r="B85" s="387"/>
      <c r="C85" s="387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1"/>
      <c r="B86" s="387"/>
      <c r="C86" s="387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1" t="s">
        <v>567</v>
      </c>
      <c r="B87" s="387"/>
      <c r="C87" s="387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1"/>
      <c r="B88" s="387"/>
      <c r="C88" s="387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1"/>
      <c r="B89" s="387"/>
      <c r="C89" s="387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1"/>
      <c r="B90" s="387"/>
      <c r="C90" s="387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1" t="s">
        <v>568</v>
      </c>
      <c r="B91" s="387"/>
      <c r="C91" s="387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1"/>
      <c r="B92" s="387"/>
      <c r="C92" s="387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1"/>
      <c r="B93" s="387"/>
      <c r="C93" s="387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1"/>
      <c r="B94" s="387"/>
      <c r="C94" s="387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1" t="s">
        <v>569</v>
      </c>
      <c r="B95" s="387"/>
      <c r="C95" s="387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1"/>
      <c r="B96" s="387"/>
      <c r="C96" s="387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1"/>
      <c r="B97" s="387"/>
      <c r="C97" s="387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1"/>
      <c r="B98" s="387"/>
      <c r="C98" s="387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oswZHtVIdFmk1CgfF47GFmsMsoz9P9In/FxhQpoDPKBKWSgXyOmVUSo2JqolRt1D3ILNpHeDEHmXi7xIrNYiWw==" saltValue="jpov7HLVArSrjCG8LHcOeg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1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1263</v>
      </c>
    </row>
    <row r="5" spans="1:20">
      <c r="A5" s="14" t="s">
        <v>1265</v>
      </c>
    </row>
    <row r="7" spans="1:20" ht="15.75" thickBot="1"/>
    <row r="8" spans="1:20" ht="15.75" thickBot="1">
      <c r="A8" s="6" t="s">
        <v>19</v>
      </c>
      <c r="D8" s="388" t="s">
        <v>1404</v>
      </c>
      <c r="E8" s="389"/>
      <c r="F8" s="388" t="s">
        <v>1405</v>
      </c>
      <c r="G8" s="389"/>
      <c r="H8" s="388" t="s">
        <v>1406</v>
      </c>
      <c r="I8" s="390"/>
      <c r="J8" s="388" t="s">
        <v>1407</v>
      </c>
      <c r="K8" s="389"/>
      <c r="L8" s="388" t="s">
        <v>1410</v>
      </c>
      <c r="M8" s="389"/>
      <c r="N8" s="388" t="s">
        <v>1411</v>
      </c>
      <c r="O8" s="389"/>
      <c r="P8" s="388" t="s">
        <v>1412</v>
      </c>
      <c r="Q8" s="390"/>
      <c r="R8" s="388" t="s">
        <v>1413</v>
      </c>
      <c r="S8" s="389"/>
    </row>
    <row r="9" spans="1:20">
      <c r="A9" s="9" t="s">
        <v>79</v>
      </c>
      <c r="B9" s="2" t="s">
        <v>289</v>
      </c>
      <c r="C9" s="2" t="s">
        <v>741</v>
      </c>
      <c r="D9" s="2" t="s">
        <v>1110</v>
      </c>
      <c r="E9" s="93" t="s">
        <v>1111</v>
      </c>
      <c r="F9" s="2" t="s">
        <v>1112</v>
      </c>
      <c r="G9" s="93" t="s">
        <v>1113</v>
      </c>
      <c r="H9" s="2" t="s">
        <v>1114</v>
      </c>
      <c r="I9" s="93" t="s">
        <v>1115</v>
      </c>
      <c r="J9" s="2" t="s">
        <v>1116</v>
      </c>
      <c r="K9" s="93" t="s">
        <v>1117</v>
      </c>
      <c r="L9" s="2" t="s">
        <v>1118</v>
      </c>
      <c r="M9" s="93" t="s">
        <v>1119</v>
      </c>
      <c r="N9" s="2" t="s">
        <v>1120</v>
      </c>
      <c r="O9" s="93" t="s">
        <v>1121</v>
      </c>
      <c r="P9" s="2" t="s">
        <v>1122</v>
      </c>
      <c r="Q9" s="93" t="s">
        <v>1123</v>
      </c>
      <c r="R9" s="2" t="s">
        <v>1124</v>
      </c>
      <c r="S9" s="93" t="s">
        <v>1125</v>
      </c>
      <c r="T9" s="3" t="s">
        <v>1126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16" t="s">
        <v>1169</v>
      </c>
      <c r="I10" s="16" t="s">
        <v>1170</v>
      </c>
      <c r="J10" s="16" t="s">
        <v>1169</v>
      </c>
      <c r="K10" s="16" t="s">
        <v>1170</v>
      </c>
      <c r="L10" s="16" t="s">
        <v>1169</v>
      </c>
      <c r="M10" s="16" t="s">
        <v>1170</v>
      </c>
      <c r="N10" s="16" t="s">
        <v>1169</v>
      </c>
      <c r="O10" s="16" t="s">
        <v>1170</v>
      </c>
      <c r="P10" s="16" t="s">
        <v>1169</v>
      </c>
      <c r="Q10" s="16" t="s">
        <v>1170</v>
      </c>
      <c r="R10" s="16" t="s">
        <v>1169</v>
      </c>
      <c r="S10" s="16" t="s">
        <v>1170</v>
      </c>
      <c r="T10" s="66" t="s">
        <v>1207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16" t="s">
        <v>1169</v>
      </c>
      <c r="I11" s="16" t="s">
        <v>1170</v>
      </c>
      <c r="J11" s="16" t="s">
        <v>1169</v>
      </c>
      <c r="K11" s="16" t="s">
        <v>1170</v>
      </c>
      <c r="L11" s="16" t="s">
        <v>1169</v>
      </c>
      <c r="M11" s="16" t="s">
        <v>1170</v>
      </c>
      <c r="N11" s="16" t="s">
        <v>1169</v>
      </c>
      <c r="O11" s="16" t="s">
        <v>1170</v>
      </c>
      <c r="P11" s="16" t="s">
        <v>1169</v>
      </c>
      <c r="Q11" s="16" t="s">
        <v>1170</v>
      </c>
      <c r="R11" s="16" t="s">
        <v>1169</v>
      </c>
      <c r="S11" s="16" t="s">
        <v>1170</v>
      </c>
      <c r="T11" s="66" t="s">
        <v>1208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16" t="s">
        <v>1169</v>
      </c>
      <c r="I12" s="16" t="s">
        <v>1170</v>
      </c>
      <c r="J12" s="16" t="s">
        <v>1169</v>
      </c>
      <c r="K12" s="16" t="s">
        <v>1170</v>
      </c>
      <c r="L12" s="16" t="s">
        <v>1169</v>
      </c>
      <c r="M12" s="16" t="s">
        <v>1170</v>
      </c>
      <c r="N12" s="16" t="s">
        <v>1169</v>
      </c>
      <c r="O12" s="16" t="s">
        <v>1170</v>
      </c>
      <c r="P12" s="16" t="s">
        <v>1169</v>
      </c>
      <c r="Q12" s="16" t="s">
        <v>1170</v>
      </c>
      <c r="R12" s="16" t="s">
        <v>1169</v>
      </c>
      <c r="S12" s="16" t="s">
        <v>1170</v>
      </c>
      <c r="T12" s="66" t="s">
        <v>1209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16" t="s">
        <v>1169</v>
      </c>
      <c r="I13" s="16" t="s">
        <v>1170</v>
      </c>
      <c r="J13" s="16" t="s">
        <v>1169</v>
      </c>
      <c r="K13" s="16" t="s">
        <v>1170</v>
      </c>
      <c r="L13" s="16" t="s">
        <v>1169</v>
      </c>
      <c r="M13" s="16" t="s">
        <v>1170</v>
      </c>
      <c r="N13" s="16" t="s">
        <v>1169</v>
      </c>
      <c r="O13" s="16" t="s">
        <v>1170</v>
      </c>
      <c r="P13" s="16" t="s">
        <v>1169</v>
      </c>
      <c r="Q13" s="16" t="s">
        <v>1170</v>
      </c>
      <c r="R13" s="16" t="s">
        <v>1169</v>
      </c>
      <c r="S13" s="16" t="s">
        <v>1170</v>
      </c>
      <c r="T13" s="66" t="s">
        <v>1210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16" t="s">
        <v>1169</v>
      </c>
      <c r="I14" s="16" t="s">
        <v>1170</v>
      </c>
      <c r="J14" s="16" t="s">
        <v>1169</v>
      </c>
      <c r="K14" s="16" t="s">
        <v>1170</v>
      </c>
      <c r="L14" s="16" t="s">
        <v>1169</v>
      </c>
      <c r="M14" s="16" t="s">
        <v>1170</v>
      </c>
      <c r="N14" s="16" t="s">
        <v>1169</v>
      </c>
      <c r="O14" s="16" t="s">
        <v>1170</v>
      </c>
      <c r="P14" s="16" t="s">
        <v>1169</v>
      </c>
      <c r="Q14" s="16" t="s">
        <v>1170</v>
      </c>
      <c r="R14" s="16" t="s">
        <v>1169</v>
      </c>
      <c r="S14" s="16" t="s">
        <v>1170</v>
      </c>
      <c r="T14" s="66" t="s">
        <v>1211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16" t="s">
        <v>1169</v>
      </c>
      <c r="I15" s="16" t="s">
        <v>1170</v>
      </c>
      <c r="J15" s="16" t="s">
        <v>1169</v>
      </c>
      <c r="K15" s="16" t="s">
        <v>1170</v>
      </c>
      <c r="L15" s="16" t="s">
        <v>1169</v>
      </c>
      <c r="M15" s="16" t="s">
        <v>1170</v>
      </c>
      <c r="N15" s="16" t="s">
        <v>1169</v>
      </c>
      <c r="O15" s="16" t="s">
        <v>1170</v>
      </c>
      <c r="P15" s="16" t="s">
        <v>1169</v>
      </c>
      <c r="Q15" s="16" t="s">
        <v>1170</v>
      </c>
      <c r="R15" s="16" t="s">
        <v>1169</v>
      </c>
      <c r="S15" s="16" t="s">
        <v>1170</v>
      </c>
      <c r="T15" s="66" t="s">
        <v>1212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16" t="s">
        <v>1169</v>
      </c>
      <c r="I16" s="16" t="s">
        <v>1170</v>
      </c>
      <c r="J16" s="16" t="s">
        <v>1169</v>
      </c>
      <c r="K16" s="16" t="s">
        <v>1170</v>
      </c>
      <c r="L16" s="16" t="s">
        <v>1169</v>
      </c>
      <c r="M16" s="16" t="s">
        <v>1170</v>
      </c>
      <c r="N16" s="16" t="s">
        <v>1169</v>
      </c>
      <c r="O16" s="16" t="s">
        <v>1170</v>
      </c>
      <c r="P16" s="16" t="s">
        <v>1169</v>
      </c>
      <c r="Q16" s="16" t="s">
        <v>1170</v>
      </c>
      <c r="R16" s="16" t="s">
        <v>1169</v>
      </c>
      <c r="S16" s="16" t="s">
        <v>1170</v>
      </c>
      <c r="T16" s="66" t="s">
        <v>1213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16" t="s">
        <v>1169</v>
      </c>
      <c r="I17" s="16" t="s">
        <v>1170</v>
      </c>
      <c r="J17" s="16" t="s">
        <v>1169</v>
      </c>
      <c r="K17" s="16" t="s">
        <v>1170</v>
      </c>
      <c r="L17" s="16" t="s">
        <v>1169</v>
      </c>
      <c r="M17" s="16" t="s">
        <v>1170</v>
      </c>
      <c r="N17" s="16" t="s">
        <v>1169</v>
      </c>
      <c r="O17" s="16" t="s">
        <v>1170</v>
      </c>
      <c r="P17" s="16" t="s">
        <v>1169</v>
      </c>
      <c r="Q17" s="16" t="s">
        <v>1170</v>
      </c>
      <c r="R17" s="16" t="s">
        <v>1169</v>
      </c>
      <c r="S17" s="16" t="s">
        <v>1170</v>
      </c>
      <c r="T17" s="66" t="s">
        <v>1214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16" t="s">
        <v>1169</v>
      </c>
      <c r="I18" s="16" t="s">
        <v>1170</v>
      </c>
      <c r="J18" s="16" t="s">
        <v>1169</v>
      </c>
      <c r="K18" s="16" t="s">
        <v>1170</v>
      </c>
      <c r="L18" s="16" t="s">
        <v>1169</v>
      </c>
      <c r="M18" s="16" t="s">
        <v>1170</v>
      </c>
      <c r="N18" s="16" t="s">
        <v>1169</v>
      </c>
      <c r="O18" s="16" t="s">
        <v>1170</v>
      </c>
      <c r="P18" s="16" t="s">
        <v>1169</v>
      </c>
      <c r="Q18" s="16" t="s">
        <v>1170</v>
      </c>
      <c r="R18" s="16" t="s">
        <v>1169</v>
      </c>
      <c r="S18" s="16" t="s">
        <v>1170</v>
      </c>
      <c r="T18" s="66" t="s">
        <v>1215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16" t="s">
        <v>1169</v>
      </c>
      <c r="I19" s="16" t="s">
        <v>1170</v>
      </c>
      <c r="J19" s="16" t="s">
        <v>1169</v>
      </c>
      <c r="K19" s="16" t="s">
        <v>1170</v>
      </c>
      <c r="L19" s="16" t="s">
        <v>1169</v>
      </c>
      <c r="M19" s="16" t="s">
        <v>1170</v>
      </c>
      <c r="N19" s="16" t="s">
        <v>1169</v>
      </c>
      <c r="O19" s="16" t="s">
        <v>1170</v>
      </c>
      <c r="P19" s="16" t="s">
        <v>1169</v>
      </c>
      <c r="Q19" s="16" t="s">
        <v>1170</v>
      </c>
      <c r="R19" s="16" t="s">
        <v>1169</v>
      </c>
      <c r="S19" s="16" t="s">
        <v>1170</v>
      </c>
      <c r="T19" s="66" t="s">
        <v>1216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16" t="s">
        <v>1169</v>
      </c>
      <c r="I20" s="16" t="s">
        <v>1170</v>
      </c>
      <c r="J20" s="16" t="s">
        <v>1169</v>
      </c>
      <c r="K20" s="16" t="s">
        <v>1170</v>
      </c>
      <c r="L20" s="16" t="s">
        <v>1169</v>
      </c>
      <c r="M20" s="16" t="s">
        <v>1170</v>
      </c>
      <c r="N20" s="16" t="s">
        <v>1169</v>
      </c>
      <c r="O20" s="16" t="s">
        <v>1170</v>
      </c>
      <c r="P20" s="16" t="s">
        <v>1169</v>
      </c>
      <c r="Q20" s="16" t="s">
        <v>1170</v>
      </c>
      <c r="R20" s="16" t="s">
        <v>1169</v>
      </c>
      <c r="S20" s="16" t="s">
        <v>1170</v>
      </c>
      <c r="T20" s="66" t="s">
        <v>1217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16" t="s">
        <v>1169</v>
      </c>
      <c r="I21" s="16" t="s">
        <v>1170</v>
      </c>
      <c r="J21" s="16" t="s">
        <v>1169</v>
      </c>
      <c r="K21" s="16" t="s">
        <v>1170</v>
      </c>
      <c r="L21" s="16" t="s">
        <v>1169</v>
      </c>
      <c r="M21" s="16" t="s">
        <v>1170</v>
      </c>
      <c r="N21" s="16" t="s">
        <v>1169</v>
      </c>
      <c r="O21" s="16" t="s">
        <v>1170</v>
      </c>
      <c r="P21" s="16" t="s">
        <v>1169</v>
      </c>
      <c r="Q21" s="16" t="s">
        <v>1170</v>
      </c>
      <c r="R21" s="16" t="s">
        <v>1169</v>
      </c>
      <c r="S21" s="16" t="s">
        <v>1170</v>
      </c>
      <c r="T21" s="66" t="s">
        <v>1218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16" t="s">
        <v>1169</v>
      </c>
      <c r="I22" s="16" t="s">
        <v>1170</v>
      </c>
      <c r="J22" s="16" t="s">
        <v>1169</v>
      </c>
      <c r="K22" s="16" t="s">
        <v>1170</v>
      </c>
      <c r="L22" s="16" t="s">
        <v>1169</v>
      </c>
      <c r="M22" s="16" t="s">
        <v>1170</v>
      </c>
      <c r="N22" s="16" t="s">
        <v>1169</v>
      </c>
      <c r="O22" s="16" t="s">
        <v>1170</v>
      </c>
      <c r="P22" s="16" t="s">
        <v>1169</v>
      </c>
      <c r="Q22" s="16" t="s">
        <v>1170</v>
      </c>
      <c r="R22" s="16" t="s">
        <v>1169</v>
      </c>
      <c r="S22" s="16" t="s">
        <v>1170</v>
      </c>
      <c r="T22" s="66" t="s">
        <v>1219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16" t="s">
        <v>1169</v>
      </c>
      <c r="I23" s="16" t="s">
        <v>1170</v>
      </c>
      <c r="J23" s="16" t="s">
        <v>1169</v>
      </c>
      <c r="K23" s="16" t="s">
        <v>1170</v>
      </c>
      <c r="L23" s="16" t="s">
        <v>1169</v>
      </c>
      <c r="M23" s="16" t="s">
        <v>1170</v>
      </c>
      <c r="N23" s="16" t="s">
        <v>1169</v>
      </c>
      <c r="O23" s="16" t="s">
        <v>1170</v>
      </c>
      <c r="P23" s="16" t="s">
        <v>1169</v>
      </c>
      <c r="Q23" s="16" t="s">
        <v>1170</v>
      </c>
      <c r="R23" s="16" t="s">
        <v>1169</v>
      </c>
      <c r="S23" s="16" t="s">
        <v>1170</v>
      </c>
      <c r="T23" s="66" t="s">
        <v>1220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16" t="s">
        <v>1169</v>
      </c>
      <c r="I24" s="16" t="s">
        <v>1170</v>
      </c>
      <c r="J24" s="16" t="s">
        <v>1169</v>
      </c>
      <c r="K24" s="16" t="s">
        <v>1170</v>
      </c>
      <c r="L24" s="16" t="s">
        <v>1169</v>
      </c>
      <c r="M24" s="16" t="s">
        <v>1170</v>
      </c>
      <c r="N24" s="16" t="s">
        <v>1169</v>
      </c>
      <c r="O24" s="16" t="s">
        <v>1170</v>
      </c>
      <c r="P24" s="16" t="s">
        <v>1169</v>
      </c>
      <c r="Q24" s="16" t="s">
        <v>1170</v>
      </c>
      <c r="R24" s="16" t="s">
        <v>1169</v>
      </c>
      <c r="S24" s="16" t="s">
        <v>1170</v>
      </c>
      <c r="T24" s="66" t="s">
        <v>1221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16" t="s">
        <v>1169</v>
      </c>
      <c r="I25" s="16" t="s">
        <v>1170</v>
      </c>
      <c r="J25" s="16" t="s">
        <v>1169</v>
      </c>
      <c r="K25" s="16" t="s">
        <v>1170</v>
      </c>
      <c r="L25" s="16" t="s">
        <v>1169</v>
      </c>
      <c r="M25" s="16" t="s">
        <v>1170</v>
      </c>
      <c r="N25" s="16" t="s">
        <v>1169</v>
      </c>
      <c r="O25" s="16" t="s">
        <v>1170</v>
      </c>
      <c r="P25" s="16" t="s">
        <v>1169</v>
      </c>
      <c r="Q25" s="16" t="s">
        <v>1170</v>
      </c>
      <c r="R25" s="16" t="s">
        <v>1169</v>
      </c>
      <c r="S25" s="16" t="s">
        <v>1170</v>
      </c>
      <c r="T25" s="66" t="s">
        <v>1222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16" t="s">
        <v>1169</v>
      </c>
      <c r="I26" s="16" t="s">
        <v>1170</v>
      </c>
      <c r="J26" s="16" t="s">
        <v>1169</v>
      </c>
      <c r="K26" s="16" t="s">
        <v>1170</v>
      </c>
      <c r="L26" s="16" t="s">
        <v>1169</v>
      </c>
      <c r="M26" s="16" t="s">
        <v>1170</v>
      </c>
      <c r="N26" s="16" t="s">
        <v>1169</v>
      </c>
      <c r="O26" s="16" t="s">
        <v>1170</v>
      </c>
      <c r="P26" s="16" t="s">
        <v>1169</v>
      </c>
      <c r="Q26" s="16" t="s">
        <v>1170</v>
      </c>
      <c r="R26" s="16" t="s">
        <v>1169</v>
      </c>
      <c r="S26" s="16" t="s">
        <v>1170</v>
      </c>
      <c r="T26" s="66" t="s">
        <v>1223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1169</v>
      </c>
      <c r="E27" s="16" t="s">
        <v>1170</v>
      </c>
      <c r="F27" s="16" t="s">
        <v>1169</v>
      </c>
      <c r="G27" s="16" t="s">
        <v>1170</v>
      </c>
      <c r="H27" s="16" t="s">
        <v>1169</v>
      </c>
      <c r="I27" s="16" t="s">
        <v>1170</v>
      </c>
      <c r="J27" s="16" t="s">
        <v>1169</v>
      </c>
      <c r="K27" s="16" t="s">
        <v>1170</v>
      </c>
      <c r="L27" s="16" t="s">
        <v>1169</v>
      </c>
      <c r="M27" s="16" t="s">
        <v>1170</v>
      </c>
      <c r="N27" s="16" t="s">
        <v>1169</v>
      </c>
      <c r="O27" s="16" t="s">
        <v>1170</v>
      </c>
      <c r="P27" s="16" t="s">
        <v>1169</v>
      </c>
      <c r="Q27" s="16" t="s">
        <v>1170</v>
      </c>
      <c r="R27" s="16" t="s">
        <v>1169</v>
      </c>
      <c r="S27" s="16" t="s">
        <v>1170</v>
      </c>
      <c r="T27" s="66" t="s">
        <v>1224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1169</v>
      </c>
      <c r="E28" s="16" t="s">
        <v>1170</v>
      </c>
      <c r="F28" s="16" t="s">
        <v>1169</v>
      </c>
      <c r="G28" s="16" t="s">
        <v>1170</v>
      </c>
      <c r="H28" s="16" t="s">
        <v>1169</v>
      </c>
      <c r="I28" s="16" t="s">
        <v>1170</v>
      </c>
      <c r="J28" s="16" t="s">
        <v>1169</v>
      </c>
      <c r="K28" s="16" t="s">
        <v>1170</v>
      </c>
      <c r="L28" s="16" t="s">
        <v>1169</v>
      </c>
      <c r="M28" s="16" t="s">
        <v>1170</v>
      </c>
      <c r="N28" s="16" t="s">
        <v>1169</v>
      </c>
      <c r="O28" s="16" t="s">
        <v>1170</v>
      </c>
      <c r="P28" s="16" t="s">
        <v>1169</v>
      </c>
      <c r="Q28" s="16" t="s">
        <v>1170</v>
      </c>
      <c r="R28" s="16" t="s">
        <v>1169</v>
      </c>
      <c r="S28" s="16" t="s">
        <v>1170</v>
      </c>
      <c r="T28" s="66" t="s">
        <v>1225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1226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1227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1228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1229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1230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1231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1267</v>
      </c>
      <c r="D38" s="388" t="s">
        <v>1404</v>
      </c>
      <c r="E38" s="389"/>
      <c r="F38" s="388" t="s">
        <v>1405</v>
      </c>
      <c r="G38" s="389"/>
      <c r="H38" s="388" t="s">
        <v>1406</v>
      </c>
      <c r="I38" s="390"/>
      <c r="J38" s="388" t="s">
        <v>1407</v>
      </c>
      <c r="K38" s="389"/>
      <c r="L38" s="388" t="s">
        <v>1410</v>
      </c>
      <c r="M38" s="389"/>
      <c r="N38" s="388" t="s">
        <v>1411</v>
      </c>
      <c r="O38" s="389"/>
      <c r="P38" s="388" t="s">
        <v>1412</v>
      </c>
      <c r="Q38" s="390"/>
      <c r="R38" s="388" t="s">
        <v>1413</v>
      </c>
      <c r="S38" s="389"/>
    </row>
    <row r="39" spans="1:20">
      <c r="A39" s="94" t="s">
        <v>1266</v>
      </c>
      <c r="B39" s="2" t="s">
        <v>289</v>
      </c>
      <c r="C39" s="2" t="s">
        <v>741</v>
      </c>
      <c r="D39" s="2" t="s">
        <v>1110</v>
      </c>
      <c r="E39" s="93" t="s">
        <v>1111</v>
      </c>
      <c r="F39" s="2" t="s">
        <v>1112</v>
      </c>
      <c r="G39" s="93" t="s">
        <v>1113</v>
      </c>
      <c r="H39" s="2" t="s">
        <v>1114</v>
      </c>
      <c r="I39" s="93" t="s">
        <v>1115</v>
      </c>
      <c r="J39" s="2" t="s">
        <v>1116</v>
      </c>
      <c r="K39" s="93" t="s">
        <v>1117</v>
      </c>
      <c r="L39" s="2" t="s">
        <v>1118</v>
      </c>
      <c r="M39" s="93" t="s">
        <v>1119</v>
      </c>
      <c r="N39" s="2" t="s">
        <v>1120</v>
      </c>
      <c r="O39" s="93" t="s">
        <v>1121</v>
      </c>
      <c r="P39" s="2" t="s">
        <v>1122</v>
      </c>
      <c r="Q39" s="93" t="s">
        <v>1123</v>
      </c>
      <c r="R39" s="2" t="s">
        <v>1124</v>
      </c>
      <c r="S39" s="93" t="s">
        <v>1125</v>
      </c>
      <c r="T39" s="3" t="s">
        <v>1126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1232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1233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1234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1235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1236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1237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1238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1239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1240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1241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1242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1243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1244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1245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1246</v>
      </c>
    </row>
    <row r="58" spans="1:21" ht="15.75" thickBot="1"/>
    <row r="59" spans="1:21">
      <c r="A59" s="71" t="s">
        <v>559</v>
      </c>
      <c r="F59" s="388" t="s">
        <v>1404</v>
      </c>
      <c r="G59" s="389"/>
      <c r="H59" s="388" t="s">
        <v>1405</v>
      </c>
      <c r="I59" s="389"/>
      <c r="J59" s="388" t="s">
        <v>1406</v>
      </c>
      <c r="K59" s="390"/>
      <c r="L59" s="388" t="s">
        <v>1407</v>
      </c>
      <c r="M59" s="389"/>
      <c r="N59" s="388" t="s">
        <v>1410</v>
      </c>
      <c r="O59" s="389"/>
      <c r="P59" s="388" t="s">
        <v>1411</v>
      </c>
      <c r="Q59" s="389"/>
      <c r="R59" s="388" t="s">
        <v>1412</v>
      </c>
      <c r="S59" s="390"/>
      <c r="T59" s="388" t="s">
        <v>1413</v>
      </c>
      <c r="U59" s="389"/>
    </row>
    <row r="60" spans="1:21" ht="30">
      <c r="A60" s="95" t="s">
        <v>570</v>
      </c>
      <c r="B60" s="96" t="s">
        <v>1247</v>
      </c>
      <c r="C60" s="72" t="s">
        <v>1312</v>
      </c>
      <c r="D60" s="72" t="s">
        <v>682</v>
      </c>
      <c r="E60" s="72" t="s">
        <v>166</v>
      </c>
      <c r="F60" s="72" t="s">
        <v>743</v>
      </c>
      <c r="G60" s="75" t="s">
        <v>744</v>
      </c>
      <c r="H60" s="72" t="s">
        <v>745</v>
      </c>
      <c r="I60" s="75" t="s">
        <v>746</v>
      </c>
      <c r="J60" s="72" t="s">
        <v>747</v>
      </c>
      <c r="K60" s="75" t="s">
        <v>748</v>
      </c>
      <c r="L60" s="72" t="s">
        <v>749</v>
      </c>
      <c r="M60" s="75" t="s">
        <v>750</v>
      </c>
      <c r="N60" s="72" t="s">
        <v>1253</v>
      </c>
      <c r="O60" s="75" t="s">
        <v>1254</v>
      </c>
      <c r="P60" s="72" t="s">
        <v>1255</v>
      </c>
      <c r="Q60" s="75" t="s">
        <v>1256</v>
      </c>
      <c r="R60" s="72" t="s">
        <v>1257</v>
      </c>
      <c r="S60" s="75" t="s">
        <v>1258</v>
      </c>
      <c r="T60" s="72" t="s">
        <v>1259</v>
      </c>
      <c r="U60" s="75" t="s">
        <v>1260</v>
      </c>
    </row>
    <row r="61" spans="1:21">
      <c r="A61" s="391" t="s">
        <v>571</v>
      </c>
      <c r="B61" s="387"/>
      <c r="C61" s="387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1"/>
      <c r="B62" s="387"/>
      <c r="C62" s="387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1"/>
      <c r="B63" s="387"/>
      <c r="C63" s="387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1"/>
      <c r="B64" s="387"/>
      <c r="C64" s="387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1" t="s">
        <v>561</v>
      </c>
      <c r="B65" s="387"/>
      <c r="C65" s="387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1"/>
      <c r="B66" s="387"/>
      <c r="C66" s="387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1"/>
      <c r="B67" s="387"/>
      <c r="C67" s="387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1"/>
      <c r="B68" s="387"/>
      <c r="C68" s="387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1" t="s">
        <v>562</v>
      </c>
      <c r="B69" s="387"/>
      <c r="C69" s="387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1"/>
      <c r="B70" s="387"/>
      <c r="C70" s="387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1"/>
      <c r="B71" s="387"/>
      <c r="C71" s="387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1"/>
      <c r="B72" s="387"/>
      <c r="C72" s="387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1" t="s">
        <v>563</v>
      </c>
      <c r="B73" s="387"/>
      <c r="C73" s="387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1"/>
      <c r="B74" s="387"/>
      <c r="C74" s="387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1"/>
      <c r="B75" s="387"/>
      <c r="C75" s="387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1"/>
      <c r="B76" s="387"/>
      <c r="C76" s="387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1" t="s">
        <v>564</v>
      </c>
      <c r="B77" s="387"/>
      <c r="C77" s="387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1"/>
      <c r="B78" s="387"/>
      <c r="C78" s="387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1"/>
      <c r="B79" s="387"/>
      <c r="C79" s="387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1"/>
      <c r="B80" s="387"/>
      <c r="C80" s="387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1" t="s">
        <v>565</v>
      </c>
      <c r="B81" s="387"/>
      <c r="C81" s="387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1"/>
      <c r="B82" s="387"/>
      <c r="C82" s="387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1"/>
      <c r="B83" s="387"/>
      <c r="C83" s="387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1"/>
      <c r="B84" s="387"/>
      <c r="C84" s="387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1" t="s">
        <v>566</v>
      </c>
      <c r="B85" s="387"/>
      <c r="C85" s="387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1"/>
      <c r="B86" s="387"/>
      <c r="C86" s="387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1"/>
      <c r="B87" s="387"/>
      <c r="C87" s="387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1"/>
      <c r="B88" s="387"/>
      <c r="C88" s="387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1" t="s">
        <v>567</v>
      </c>
      <c r="B89" s="387"/>
      <c r="C89" s="387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1"/>
      <c r="B90" s="387"/>
      <c r="C90" s="387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1"/>
      <c r="B91" s="387"/>
      <c r="C91" s="387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1"/>
      <c r="B92" s="387"/>
      <c r="C92" s="387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1" t="s">
        <v>568</v>
      </c>
      <c r="B93" s="387"/>
      <c r="C93" s="387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1"/>
      <c r="B94" s="387"/>
      <c r="C94" s="387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1"/>
      <c r="B95" s="387"/>
      <c r="C95" s="387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1"/>
      <c r="B96" s="387"/>
      <c r="C96" s="387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1" t="s">
        <v>569</v>
      </c>
      <c r="B97" s="387"/>
      <c r="C97" s="387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1"/>
      <c r="B98" s="387"/>
      <c r="C98" s="387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1"/>
      <c r="B99" s="387"/>
      <c r="C99" s="387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1"/>
      <c r="B100" s="387"/>
      <c r="C100" s="387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4N6YYXk3qqjlkQw8skI0KX180lvo5wi6WV9nIB/hhGQZU00+ZVTVyWSr3Jyf4rNljh5h+UDNsl+fhHZPOBdw+g==" saltValue="QbLPEU3ekhVPakPR/GcRu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1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698</v>
      </c>
      <c r="AH3" s="26" t="s">
        <v>722</v>
      </c>
      <c r="AI3" s="26" t="s">
        <v>833</v>
      </c>
      <c r="AJ3" s="26" t="s">
        <v>867</v>
      </c>
      <c r="AK3" s="26" t="s">
        <v>975</v>
      </c>
      <c r="AL3" s="26" t="s">
        <v>1127</v>
      </c>
      <c r="AM3" s="26" t="s">
        <v>1133</v>
      </c>
      <c r="AN3" s="26" t="s">
        <v>1165</v>
      </c>
      <c r="AO3" s="26" t="s">
        <v>1166</v>
      </c>
      <c r="AP3" s="26" t="s">
        <v>1167</v>
      </c>
      <c r="AQ3" s="26" t="s">
        <v>1168</v>
      </c>
      <c r="AR3" s="26" t="s">
        <v>1248</v>
      </c>
      <c r="AS3" s="26" t="s">
        <v>1261</v>
      </c>
      <c r="AT3" s="26" t="s">
        <v>1264</v>
      </c>
      <c r="AU3" s="26" t="s">
        <v>1330</v>
      </c>
      <c r="AV3" s="26" t="s">
        <v>1346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841</v>
      </c>
      <c r="R4" s="108" t="s">
        <v>841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711</v>
      </c>
      <c r="Y4" s="106" t="s">
        <v>712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874</v>
      </c>
      <c r="AH4" s="106" t="s">
        <v>871</v>
      </c>
      <c r="AI4" s="106" t="s">
        <v>831</v>
      </c>
      <c r="AJ4" s="106" t="s">
        <v>854</v>
      </c>
      <c r="AK4" s="106" t="s">
        <v>976</v>
      </c>
      <c r="AL4" s="106" t="s">
        <v>1128</v>
      </c>
      <c r="AM4" s="106" t="s">
        <v>1134</v>
      </c>
      <c r="AN4" s="106" t="s">
        <v>1169</v>
      </c>
      <c r="AO4" s="106" t="s">
        <v>1170</v>
      </c>
      <c r="AP4" s="110" t="s">
        <v>1026</v>
      </c>
      <c r="AQ4" s="110" t="s">
        <v>1032</v>
      </c>
      <c r="AR4" s="111" t="s">
        <v>53</v>
      </c>
      <c r="AS4" s="106" t="s">
        <v>1262</v>
      </c>
      <c r="AT4" s="106" t="s">
        <v>1265</v>
      </c>
      <c r="AU4" s="106" t="s">
        <v>1315</v>
      </c>
      <c r="AV4" s="106" t="s">
        <v>1332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877</v>
      </c>
      <c r="R5" s="108" t="s">
        <v>878</v>
      </c>
      <c r="S5" s="108" t="s">
        <v>296</v>
      </c>
      <c r="T5" s="106" t="s">
        <v>834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942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875</v>
      </c>
      <c r="AH5" s="106" t="s">
        <v>872</v>
      </c>
      <c r="AI5" s="106" t="s">
        <v>832</v>
      </c>
      <c r="AJ5" s="106" t="s">
        <v>855</v>
      </c>
      <c r="AK5" s="106" t="s">
        <v>975</v>
      </c>
      <c r="AL5" s="106" t="s">
        <v>1129</v>
      </c>
      <c r="AM5" s="106" t="s">
        <v>1135</v>
      </c>
      <c r="AN5" s="106" t="s">
        <v>1025</v>
      </c>
      <c r="AO5" s="106" t="s">
        <v>1031</v>
      </c>
      <c r="AP5" s="110" t="s">
        <v>1171</v>
      </c>
      <c r="AQ5" s="110" t="s">
        <v>1172</v>
      </c>
      <c r="AR5" s="111" t="s">
        <v>54</v>
      </c>
      <c r="AS5" s="106" t="s">
        <v>1062</v>
      </c>
      <c r="AT5" s="106" t="s">
        <v>1263</v>
      </c>
      <c r="AU5" s="106" t="s">
        <v>1316</v>
      </c>
      <c r="AV5" s="106" t="s">
        <v>1333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879</v>
      </c>
      <c r="R6" s="113" t="s">
        <v>880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876</v>
      </c>
      <c r="AH6" s="106" t="s">
        <v>873</v>
      </c>
      <c r="AJ6" s="106" t="s">
        <v>856</v>
      </c>
      <c r="AL6" s="106" t="s">
        <v>1130</v>
      </c>
      <c r="AM6" s="106" t="s">
        <v>1136</v>
      </c>
      <c r="AN6" s="106" t="s">
        <v>1027</v>
      </c>
      <c r="AO6" s="106" t="s">
        <v>1033</v>
      </c>
      <c r="AP6" s="110" t="s">
        <v>1173</v>
      </c>
      <c r="AQ6" s="110" t="s">
        <v>1174</v>
      </c>
      <c r="AR6" s="111" t="s">
        <v>55</v>
      </c>
      <c r="AU6" s="106" t="s">
        <v>1317</v>
      </c>
      <c r="AV6" s="106" t="s">
        <v>1334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881</v>
      </c>
      <c r="R7" s="113" t="s">
        <v>882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883</v>
      </c>
      <c r="AJ7" s="106" t="s">
        <v>857</v>
      </c>
      <c r="AL7" s="106" t="s">
        <v>1131</v>
      </c>
      <c r="AM7" s="106" t="s">
        <v>1137</v>
      </c>
      <c r="AN7" s="106" t="s">
        <v>1028</v>
      </c>
      <c r="AO7" s="106" t="s">
        <v>1034</v>
      </c>
      <c r="AP7" s="110" t="s">
        <v>1175</v>
      </c>
      <c r="AQ7" s="110" t="s">
        <v>1176</v>
      </c>
      <c r="AR7" s="111" t="s">
        <v>56</v>
      </c>
      <c r="AU7" s="106" t="s">
        <v>1318</v>
      </c>
      <c r="AV7" s="106" t="s">
        <v>1089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884</v>
      </c>
      <c r="R8" s="113" t="s">
        <v>885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858</v>
      </c>
      <c r="AL8" s="106" t="s">
        <v>1132</v>
      </c>
      <c r="AM8" s="106" t="s">
        <v>1138</v>
      </c>
      <c r="AN8" s="106" t="s">
        <v>1029</v>
      </c>
      <c r="AO8" s="106" t="s">
        <v>1035</v>
      </c>
      <c r="AP8" s="110" t="s">
        <v>1177</v>
      </c>
      <c r="AQ8" s="110" t="s">
        <v>1178</v>
      </c>
      <c r="AR8" s="111" t="s">
        <v>57</v>
      </c>
      <c r="AU8" s="106" t="s">
        <v>1232</v>
      </c>
      <c r="AV8" s="106" t="s">
        <v>1090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886</v>
      </c>
      <c r="R9" s="113" t="s">
        <v>887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888</v>
      </c>
      <c r="AJ9" s="106" t="s">
        <v>859</v>
      </c>
      <c r="AM9" s="106" t="s">
        <v>1139</v>
      </c>
      <c r="AO9" s="106" t="s">
        <v>1036</v>
      </c>
      <c r="AP9" s="109"/>
      <c r="AQ9" s="110" t="s">
        <v>1179</v>
      </c>
      <c r="AR9" s="111" t="s">
        <v>58</v>
      </c>
      <c r="AU9" s="106" t="s">
        <v>1233</v>
      </c>
      <c r="AV9" s="106" t="s">
        <v>1091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889</v>
      </c>
      <c r="R10" s="113" t="s">
        <v>890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860</v>
      </c>
      <c r="AM10" s="106" t="s">
        <v>1140</v>
      </c>
      <c r="AO10" s="106" t="s">
        <v>1037</v>
      </c>
      <c r="AP10" s="109"/>
      <c r="AQ10" s="110" t="s">
        <v>1180</v>
      </c>
      <c r="AR10" s="111" t="s">
        <v>59</v>
      </c>
      <c r="AU10" s="106" t="s">
        <v>1234</v>
      </c>
      <c r="AV10" s="106" t="s">
        <v>1092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891</v>
      </c>
      <c r="R11" s="113" t="s">
        <v>892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861</v>
      </c>
      <c r="AM11" s="106" t="s">
        <v>1141</v>
      </c>
      <c r="AO11" s="106" t="s">
        <v>1038</v>
      </c>
      <c r="AP11" s="109"/>
      <c r="AQ11" s="110" t="s">
        <v>1181</v>
      </c>
      <c r="AR11" s="111" t="s">
        <v>60</v>
      </c>
      <c r="AU11" s="106" t="s">
        <v>1235</v>
      </c>
      <c r="AV11" s="106" t="s">
        <v>1093</v>
      </c>
    </row>
    <row r="12" spans="1:48" s="106" customFormat="1" ht="15.75">
      <c r="A12" s="106" t="s">
        <v>849</v>
      </c>
      <c r="B12" s="106" t="s">
        <v>99</v>
      </c>
      <c r="C12" s="106" t="s">
        <v>103</v>
      </c>
      <c r="M12" s="106" t="s">
        <v>144</v>
      </c>
      <c r="Q12" s="107" t="s">
        <v>893</v>
      </c>
      <c r="R12" s="113" t="s">
        <v>894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862</v>
      </c>
      <c r="AM12" s="106" t="s">
        <v>1142</v>
      </c>
      <c r="AO12" s="106" t="s">
        <v>1039</v>
      </c>
      <c r="AP12" s="109"/>
      <c r="AQ12" s="110" t="s">
        <v>1182</v>
      </c>
      <c r="AR12" s="111" t="s">
        <v>61</v>
      </c>
      <c r="AU12" s="106" t="s">
        <v>1236</v>
      </c>
      <c r="AV12" s="106" t="s">
        <v>1094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895</v>
      </c>
      <c r="R13" s="113" t="s">
        <v>896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863</v>
      </c>
      <c r="AM13" s="106" t="s">
        <v>1143</v>
      </c>
      <c r="AO13" s="106" t="s">
        <v>1040</v>
      </c>
      <c r="AP13" s="109"/>
      <c r="AQ13" s="110" t="s">
        <v>1183</v>
      </c>
      <c r="AR13" s="111" t="s">
        <v>62</v>
      </c>
      <c r="AU13" s="106" t="s">
        <v>1237</v>
      </c>
      <c r="AV13" s="106" t="s">
        <v>1095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897</v>
      </c>
      <c r="R14" s="113" t="s">
        <v>898</v>
      </c>
      <c r="S14" s="113"/>
      <c r="U14" s="106" t="s">
        <v>835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864</v>
      </c>
      <c r="AM14" s="106" t="s">
        <v>1144</v>
      </c>
      <c r="AO14" s="106" t="s">
        <v>1041</v>
      </c>
      <c r="AP14" s="109"/>
      <c r="AQ14" s="110" t="s">
        <v>1184</v>
      </c>
      <c r="AR14" s="111" t="s">
        <v>63</v>
      </c>
      <c r="AU14" s="106" t="s">
        <v>1238</v>
      </c>
      <c r="AV14" s="106" t="s">
        <v>1096</v>
      </c>
    </row>
    <row r="15" spans="1:48" s="106" customFormat="1" ht="15.75">
      <c r="A15" s="106" t="s">
        <v>276</v>
      </c>
      <c r="M15" s="106" t="s">
        <v>147</v>
      </c>
      <c r="Q15" s="107" t="s">
        <v>899</v>
      </c>
      <c r="R15" s="113" t="s">
        <v>900</v>
      </c>
      <c r="S15" s="113"/>
      <c r="U15" s="106" t="s">
        <v>836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865</v>
      </c>
      <c r="AM15" s="106" t="s">
        <v>1145</v>
      </c>
      <c r="AO15" s="106" t="s">
        <v>1042</v>
      </c>
      <c r="AP15" s="109"/>
      <c r="AQ15" s="110" t="s">
        <v>1185</v>
      </c>
      <c r="AR15" s="111" t="s">
        <v>64</v>
      </c>
      <c r="AU15" s="106" t="s">
        <v>1239</v>
      </c>
      <c r="AV15" s="106" t="s">
        <v>1097</v>
      </c>
    </row>
    <row r="16" spans="1:48" s="106" customFormat="1" ht="15.75">
      <c r="A16" s="106" t="s">
        <v>901</v>
      </c>
      <c r="M16" s="106" t="s">
        <v>148</v>
      </c>
      <c r="Q16" s="107" t="s">
        <v>902</v>
      </c>
      <c r="R16" s="113" t="s">
        <v>903</v>
      </c>
      <c r="S16" s="113"/>
      <c r="U16" s="106" t="s">
        <v>837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866</v>
      </c>
      <c r="AM16" s="106" t="s">
        <v>1146</v>
      </c>
      <c r="AO16" s="106" t="s">
        <v>1043</v>
      </c>
      <c r="AP16" s="109"/>
      <c r="AQ16" s="110" t="s">
        <v>1186</v>
      </c>
      <c r="AR16" s="111" t="s">
        <v>65</v>
      </c>
      <c r="AU16" s="106" t="s">
        <v>1240</v>
      </c>
      <c r="AV16" s="106" t="s">
        <v>1098</v>
      </c>
    </row>
    <row r="17" spans="1:48" s="106" customFormat="1" ht="15.75">
      <c r="A17" s="106" t="s">
        <v>89</v>
      </c>
      <c r="M17" s="106" t="s">
        <v>149</v>
      </c>
      <c r="Q17" s="107" t="s">
        <v>904</v>
      </c>
      <c r="R17" s="113" t="s">
        <v>905</v>
      </c>
      <c r="S17" s="113"/>
      <c r="U17" s="106" t="s">
        <v>838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906</v>
      </c>
      <c r="AM17" s="106" t="s">
        <v>1147</v>
      </c>
      <c r="AO17" s="106" t="s">
        <v>1044</v>
      </c>
      <c r="AP17" s="109"/>
      <c r="AQ17" s="110" t="s">
        <v>1187</v>
      </c>
      <c r="AR17" s="111" t="s">
        <v>66</v>
      </c>
      <c r="AU17" s="106" t="s">
        <v>1241</v>
      </c>
      <c r="AV17" s="106" t="s">
        <v>1099</v>
      </c>
    </row>
    <row r="18" spans="1:48" s="106" customFormat="1" ht="15.75">
      <c r="A18" s="106" t="s">
        <v>280</v>
      </c>
      <c r="M18" s="106" t="s">
        <v>150</v>
      </c>
      <c r="Q18" s="107" t="s">
        <v>907</v>
      </c>
      <c r="R18" s="113" t="s">
        <v>908</v>
      </c>
      <c r="S18" s="113"/>
      <c r="U18" s="106" t="s">
        <v>839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1148</v>
      </c>
      <c r="AO18" s="106" t="s">
        <v>1045</v>
      </c>
      <c r="AP18" s="109"/>
      <c r="AQ18" s="110" t="s">
        <v>1188</v>
      </c>
      <c r="AR18" s="111" t="s">
        <v>67</v>
      </c>
      <c r="AU18" s="106" t="s">
        <v>1242</v>
      </c>
      <c r="AV18" s="106" t="s">
        <v>1100</v>
      </c>
    </row>
    <row r="19" spans="1:48" s="106" customFormat="1" ht="15.75">
      <c r="A19" s="106" t="s">
        <v>281</v>
      </c>
      <c r="M19" s="106" t="s">
        <v>151</v>
      </c>
      <c r="Q19" s="107" t="s">
        <v>909</v>
      </c>
      <c r="R19" s="113" t="s">
        <v>910</v>
      </c>
      <c r="S19" s="113"/>
      <c r="U19" s="106" t="s">
        <v>840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1149</v>
      </c>
      <c r="AO19" s="106" t="s">
        <v>1046</v>
      </c>
      <c r="AP19" s="109"/>
      <c r="AQ19" s="110" t="s">
        <v>1189</v>
      </c>
      <c r="AR19" s="111" t="s">
        <v>68</v>
      </c>
      <c r="AU19" s="106" t="s">
        <v>1243</v>
      </c>
      <c r="AV19" s="106" t="s">
        <v>1101</v>
      </c>
    </row>
    <row r="20" spans="1:48" s="106" customFormat="1" ht="15.75">
      <c r="A20" s="106" t="s">
        <v>90</v>
      </c>
      <c r="M20" s="106" t="s">
        <v>152</v>
      </c>
      <c r="Q20" s="107" t="s">
        <v>911</v>
      </c>
      <c r="R20" s="113" t="s">
        <v>912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1150</v>
      </c>
      <c r="AO20" s="106" t="s">
        <v>1047</v>
      </c>
      <c r="AP20" s="109"/>
      <c r="AQ20" s="110" t="s">
        <v>1190</v>
      </c>
      <c r="AR20" s="111" t="s">
        <v>69</v>
      </c>
      <c r="AU20" s="106" t="s">
        <v>1244</v>
      </c>
      <c r="AV20" s="106" t="s">
        <v>1102</v>
      </c>
    </row>
    <row r="21" spans="1:48" s="106" customFormat="1" ht="15.75">
      <c r="A21" s="106" t="s">
        <v>282</v>
      </c>
      <c r="M21" s="106" t="s">
        <v>153</v>
      </c>
      <c r="Q21" s="107" t="s">
        <v>913</v>
      </c>
      <c r="R21" s="113" t="s">
        <v>914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1151</v>
      </c>
      <c r="AO21" s="106" t="s">
        <v>1048</v>
      </c>
      <c r="AP21" s="109"/>
      <c r="AQ21" s="110" t="s">
        <v>1191</v>
      </c>
      <c r="AR21" s="111" t="s">
        <v>70</v>
      </c>
      <c r="AU21" s="106" t="s">
        <v>1245</v>
      </c>
      <c r="AV21" s="106" t="s">
        <v>1103</v>
      </c>
    </row>
    <row r="22" spans="1:48" s="106" customFormat="1" ht="15.75">
      <c r="A22" s="106" t="s">
        <v>274</v>
      </c>
      <c r="M22" s="106" t="s">
        <v>154</v>
      </c>
      <c r="Q22" s="107" t="s">
        <v>915</v>
      </c>
      <c r="R22" s="113" t="s">
        <v>916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699</v>
      </c>
      <c r="AH22" s="106" t="s">
        <v>676</v>
      </c>
      <c r="AM22" s="106" t="s">
        <v>1152</v>
      </c>
      <c r="AO22" s="106" t="s">
        <v>1049</v>
      </c>
      <c r="AP22" s="109"/>
      <c r="AQ22" s="110" t="s">
        <v>1192</v>
      </c>
      <c r="AR22" s="111" t="s">
        <v>71</v>
      </c>
      <c r="AU22" s="106" t="s">
        <v>1246</v>
      </c>
      <c r="AV22" s="106" t="s">
        <v>1335</v>
      </c>
    </row>
    <row r="23" spans="1:48" s="106" customFormat="1" ht="15.75">
      <c r="A23" s="106" t="s">
        <v>91</v>
      </c>
      <c r="M23" s="106" t="s">
        <v>155</v>
      </c>
      <c r="Q23" s="107" t="s">
        <v>917</v>
      </c>
      <c r="R23" s="113" t="s">
        <v>918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700</v>
      </c>
      <c r="AH23" s="106" t="s">
        <v>723</v>
      </c>
      <c r="AM23" s="106" t="s">
        <v>1153</v>
      </c>
      <c r="AO23" s="106" t="s">
        <v>1050</v>
      </c>
      <c r="AP23" s="109"/>
      <c r="AQ23" s="110" t="s">
        <v>1193</v>
      </c>
      <c r="AR23" s="111" t="s">
        <v>72</v>
      </c>
      <c r="AU23" s="106" t="s">
        <v>1319</v>
      </c>
      <c r="AV23" s="106" t="s">
        <v>1336</v>
      </c>
    </row>
    <row r="24" spans="1:48" s="106" customFormat="1" ht="15.75">
      <c r="A24" s="106" t="s">
        <v>92</v>
      </c>
      <c r="M24" s="106" t="s">
        <v>156</v>
      </c>
      <c r="Q24" s="107" t="s">
        <v>919</v>
      </c>
      <c r="R24" s="113" t="s">
        <v>920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701</v>
      </c>
      <c r="AH24" s="106" t="s">
        <v>724</v>
      </c>
      <c r="AM24" s="106" t="s">
        <v>1154</v>
      </c>
      <c r="AO24" s="106" t="s">
        <v>1051</v>
      </c>
      <c r="AP24" s="109"/>
      <c r="AQ24" s="110" t="s">
        <v>1194</v>
      </c>
      <c r="AR24" s="111" t="s">
        <v>73</v>
      </c>
      <c r="AU24" s="106" t="s">
        <v>1320</v>
      </c>
      <c r="AV24" s="106" t="s">
        <v>1337</v>
      </c>
    </row>
    <row r="25" spans="1:48" s="106" customFormat="1" ht="15.75">
      <c r="A25" s="106" t="s">
        <v>26</v>
      </c>
      <c r="M25" s="106" t="s">
        <v>157</v>
      </c>
      <c r="Q25" s="107" t="s">
        <v>921</v>
      </c>
      <c r="R25" s="113" t="s">
        <v>922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702</v>
      </c>
      <c r="AH25" s="106" t="s">
        <v>725</v>
      </c>
      <c r="AM25" s="106" t="s">
        <v>1155</v>
      </c>
      <c r="AO25" s="106" t="s">
        <v>1052</v>
      </c>
      <c r="AP25" s="109"/>
      <c r="AQ25" s="110" t="s">
        <v>1195</v>
      </c>
      <c r="AR25" s="111" t="s">
        <v>74</v>
      </c>
      <c r="AU25" s="106" t="s">
        <v>1321</v>
      </c>
      <c r="AV25" s="106" t="s">
        <v>1338</v>
      </c>
    </row>
    <row r="26" spans="1:48" s="106" customFormat="1" ht="15.75">
      <c r="A26" s="106" t="s">
        <v>277</v>
      </c>
      <c r="M26" s="106" t="s">
        <v>158</v>
      </c>
      <c r="Q26" s="107" t="s">
        <v>923</v>
      </c>
      <c r="R26" s="113" t="s">
        <v>924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703</v>
      </c>
      <c r="AH26" s="106" t="s">
        <v>726</v>
      </c>
      <c r="AM26" s="106" t="s">
        <v>1156</v>
      </c>
      <c r="AO26" s="106" t="s">
        <v>1053</v>
      </c>
      <c r="AP26" s="109"/>
      <c r="AQ26" s="110" t="s">
        <v>1196</v>
      </c>
      <c r="AR26" s="111" t="s">
        <v>75</v>
      </c>
      <c r="AU26" s="106" t="s">
        <v>1322</v>
      </c>
      <c r="AV26" s="106" t="s">
        <v>1339</v>
      </c>
    </row>
    <row r="27" spans="1:48" s="106" customFormat="1" ht="15.75">
      <c r="A27" s="106" t="s">
        <v>278</v>
      </c>
      <c r="M27" s="106" t="s">
        <v>159</v>
      </c>
      <c r="Q27" s="107" t="s">
        <v>925</v>
      </c>
      <c r="R27" s="113" t="s">
        <v>926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704</v>
      </c>
      <c r="AH27" s="106" t="s">
        <v>727</v>
      </c>
      <c r="AM27" s="106" t="s">
        <v>1157</v>
      </c>
      <c r="AO27" s="106" t="s">
        <v>1054</v>
      </c>
      <c r="AP27" s="109"/>
      <c r="AQ27" s="110" t="s">
        <v>1197</v>
      </c>
      <c r="AR27" s="111" t="s">
        <v>76</v>
      </c>
      <c r="AU27" s="106" t="s">
        <v>1323</v>
      </c>
      <c r="AV27" s="106" t="s">
        <v>1340</v>
      </c>
    </row>
    <row r="28" spans="1:48" s="106" customFormat="1" ht="15.75">
      <c r="A28" s="106" t="s">
        <v>93</v>
      </c>
      <c r="M28" s="106" t="s">
        <v>160</v>
      </c>
      <c r="Q28" s="107" t="s">
        <v>927</v>
      </c>
      <c r="R28" s="113" t="s">
        <v>928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705</v>
      </c>
      <c r="AH28" s="106" t="s">
        <v>728</v>
      </c>
      <c r="AM28" s="106" t="s">
        <v>1158</v>
      </c>
      <c r="AO28" s="106" t="s">
        <v>1055</v>
      </c>
      <c r="AP28" s="109"/>
      <c r="AQ28" s="110" t="s">
        <v>1198</v>
      </c>
      <c r="AR28" s="111" t="s">
        <v>77</v>
      </c>
      <c r="AU28" s="106" t="s">
        <v>1324</v>
      </c>
      <c r="AV28" s="106" t="s">
        <v>1341</v>
      </c>
    </row>
    <row r="29" spans="1:48" s="106" customFormat="1" ht="15.75">
      <c r="A29" s="106" t="s">
        <v>94</v>
      </c>
      <c r="M29" s="106" t="s">
        <v>161</v>
      </c>
      <c r="Q29" s="107" t="s">
        <v>929</v>
      </c>
      <c r="R29" s="113" t="s">
        <v>930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706</v>
      </c>
      <c r="AH29" s="106" t="s">
        <v>729</v>
      </c>
      <c r="AM29" s="106" t="s">
        <v>1159</v>
      </c>
      <c r="AO29" s="106" t="s">
        <v>1056</v>
      </c>
      <c r="AP29" s="109"/>
      <c r="AQ29" s="110" t="s">
        <v>1199</v>
      </c>
      <c r="AR29" s="111" t="s">
        <v>544</v>
      </c>
      <c r="AU29" s="106" t="s">
        <v>1325</v>
      </c>
      <c r="AV29" s="106" t="s">
        <v>1342</v>
      </c>
    </row>
    <row r="30" spans="1:48" s="106" customFormat="1" ht="15.75">
      <c r="A30" s="106" t="s">
        <v>42</v>
      </c>
      <c r="M30" s="106" t="s">
        <v>162</v>
      </c>
      <c r="Q30" s="107" t="s">
        <v>931</v>
      </c>
      <c r="R30" s="113" t="s">
        <v>932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707</v>
      </c>
      <c r="AH30" s="106" t="s">
        <v>730</v>
      </c>
      <c r="AM30" s="106" t="s">
        <v>1160</v>
      </c>
      <c r="AO30" s="106" t="s">
        <v>1057</v>
      </c>
      <c r="AP30" s="109"/>
      <c r="AQ30" s="110" t="s">
        <v>1200</v>
      </c>
      <c r="AR30" s="111" t="s">
        <v>545</v>
      </c>
      <c r="AU30" s="106" t="s">
        <v>1326</v>
      </c>
      <c r="AV30" s="106" t="s">
        <v>1343</v>
      </c>
    </row>
    <row r="31" spans="1:48" s="106" customFormat="1" ht="15.75">
      <c r="A31" s="106" t="s">
        <v>95</v>
      </c>
      <c r="M31" s="106" t="s">
        <v>163</v>
      </c>
      <c r="Q31" s="107" t="s">
        <v>933</v>
      </c>
      <c r="R31" s="113" t="s">
        <v>934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708</v>
      </c>
      <c r="AH31" s="106" t="s">
        <v>731</v>
      </c>
      <c r="AM31" s="106" t="s">
        <v>1161</v>
      </c>
      <c r="AO31" s="106" t="s">
        <v>1058</v>
      </c>
      <c r="AP31" s="109"/>
      <c r="AQ31" s="110" t="s">
        <v>1201</v>
      </c>
      <c r="AR31" s="111" t="s">
        <v>546</v>
      </c>
      <c r="AU31" s="106" t="s">
        <v>1327</v>
      </c>
      <c r="AV31" s="106" t="s">
        <v>1344</v>
      </c>
    </row>
    <row r="32" spans="1:48" s="106" customFormat="1" ht="15.75">
      <c r="A32" s="106" t="s">
        <v>23</v>
      </c>
      <c r="M32" s="106" t="s">
        <v>164</v>
      </c>
      <c r="Q32" s="107" t="s">
        <v>935</v>
      </c>
      <c r="R32" s="113" t="s">
        <v>936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709</v>
      </c>
      <c r="AH32" s="106" t="s">
        <v>732</v>
      </c>
      <c r="AM32" s="106" t="s">
        <v>1162</v>
      </c>
      <c r="AO32" s="106" t="s">
        <v>1059</v>
      </c>
      <c r="AP32" s="109"/>
      <c r="AQ32" s="110" t="s">
        <v>1202</v>
      </c>
      <c r="AR32" s="111" t="s">
        <v>547</v>
      </c>
      <c r="AU32" s="106" t="s">
        <v>1328</v>
      </c>
      <c r="AV32" s="106" t="s">
        <v>1345</v>
      </c>
    </row>
    <row r="33" spans="1:48" s="106" customFormat="1" ht="15.75">
      <c r="A33" s="106" t="s">
        <v>96</v>
      </c>
      <c r="M33" s="106" t="s">
        <v>216</v>
      </c>
      <c r="Q33" s="107" t="s">
        <v>937</v>
      </c>
      <c r="R33" s="113" t="s">
        <v>938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939</v>
      </c>
      <c r="AM33" s="106" t="s">
        <v>1163</v>
      </c>
      <c r="AO33" s="106" t="s">
        <v>1060</v>
      </c>
      <c r="AP33" s="109"/>
      <c r="AQ33" s="110" t="s">
        <v>1203</v>
      </c>
      <c r="AR33" s="111" t="s">
        <v>548</v>
      </c>
      <c r="AU33" s="106" t="s">
        <v>1329</v>
      </c>
      <c r="AV33" s="106" t="s">
        <v>1331</v>
      </c>
    </row>
    <row r="34" spans="1:48" s="106" customFormat="1" ht="15.75">
      <c r="A34" s="106" t="s">
        <v>97</v>
      </c>
      <c r="M34" s="106" t="s">
        <v>217</v>
      </c>
      <c r="Q34" s="107" t="s">
        <v>940</v>
      </c>
      <c r="R34" s="113" t="s">
        <v>941</v>
      </c>
      <c r="S34" s="113"/>
      <c r="Y34" s="106" t="s">
        <v>535</v>
      </c>
      <c r="AA34" s="110" t="s">
        <v>611</v>
      </c>
      <c r="AB34" s="111" t="s">
        <v>549</v>
      </c>
      <c r="AM34" s="106" t="s">
        <v>1164</v>
      </c>
      <c r="AO34" s="106" t="s">
        <v>1061</v>
      </c>
      <c r="AQ34" s="110" t="s">
        <v>1204</v>
      </c>
      <c r="AR34" s="111" t="s">
        <v>549</v>
      </c>
    </row>
    <row r="35" spans="1:48" s="106" customFormat="1" ht="14.25">
      <c r="A35" s="106" t="s">
        <v>851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850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ZVq0W5uViDlCMGGOsGoTRmDhCugpFP3/lN1WqhPwgkq8+iq/eRfriANA0OaX3jaMfPza9nV8NtcgXxrB/fQX/A==" saltValue="mKB3XWkwF+v+VclEe6V+5g==" spinCount="100000" sheet="1" objects="1" scenarios="1"/>
  <dataConsolidate/>
  <phoneticPr fontId="1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397" t="s">
        <v>256</v>
      </c>
      <c r="B21" s="398"/>
      <c r="C21" s="394" t="s">
        <v>204</v>
      </c>
      <c r="D21" s="395"/>
      <c r="E21" s="395"/>
      <c r="F21" s="395"/>
      <c r="G21" s="395"/>
      <c r="H21" s="395"/>
      <c r="I21" s="394" t="s">
        <v>205</v>
      </c>
      <c r="J21" s="395"/>
      <c r="K21" s="395"/>
      <c r="L21" s="395"/>
      <c r="M21" s="396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736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737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97" t="s">
        <v>257</v>
      </c>
      <c r="B27" s="398"/>
      <c r="C27" s="394" t="s">
        <v>204</v>
      </c>
      <c r="D27" s="395"/>
      <c r="E27" s="395"/>
      <c r="F27" s="395"/>
      <c r="G27" s="395"/>
      <c r="H27" s="396"/>
      <c r="I27" s="394" t="s">
        <v>205</v>
      </c>
      <c r="J27" s="395"/>
      <c r="K27" s="395"/>
      <c r="L27" s="395"/>
      <c r="M27" s="396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736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737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97" t="s">
        <v>208</v>
      </c>
      <c r="B33" s="398"/>
      <c r="C33" s="394" t="s">
        <v>204</v>
      </c>
      <c r="D33" s="395"/>
      <c r="E33" s="395"/>
      <c r="F33" s="395"/>
      <c r="G33" s="395"/>
      <c r="H33" s="396"/>
      <c r="I33" s="394" t="s">
        <v>205</v>
      </c>
      <c r="J33" s="395"/>
      <c r="K33" s="395"/>
      <c r="L33" s="395"/>
      <c r="M33" s="396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736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737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08" t="s">
        <v>209</v>
      </c>
      <c r="B39" s="409"/>
      <c r="C39" s="410" t="s">
        <v>204</v>
      </c>
      <c r="D39" s="395"/>
      <c r="E39" s="395"/>
      <c r="F39" s="395"/>
      <c r="G39" s="395"/>
      <c r="H39" s="396"/>
      <c r="I39" s="394" t="s">
        <v>205</v>
      </c>
      <c r="J39" s="395"/>
      <c r="K39" s="395"/>
      <c r="L39" s="395"/>
      <c r="M39" s="396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FuDKztdoCtEY4eCgUtBqmCQkwj5Ci15v3jQByf6NT90w9ghMnGFM0o5/IcHuPp8eHltUihtsIcYJs2+IOlN6EQ==" saltValue="LSUN11XNYJlcCe1AeiDXZ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1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4" sqref="B304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1349</v>
      </c>
      <c r="B2" s="13" t="s">
        <v>1348</v>
      </c>
    </row>
    <row r="3" spans="1:17">
      <c r="A3" t="s">
        <v>1513</v>
      </c>
      <c r="B3" t="s">
        <v>1523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1403</v>
      </c>
    </row>
    <row r="14" spans="1:17">
      <c r="A14" s="13" t="s">
        <v>284</v>
      </c>
      <c r="B14" s="13" t="s">
        <v>1369</v>
      </c>
      <c r="C14" s="13" t="s">
        <v>285</v>
      </c>
      <c r="D14" s="13" t="s">
        <v>1414</v>
      </c>
      <c r="E14" s="13" t="s">
        <v>285</v>
      </c>
      <c r="F14" s="13" t="s">
        <v>1414</v>
      </c>
      <c r="G14" s="13" t="s">
        <v>285</v>
      </c>
      <c r="H14" s="13" t="s">
        <v>1414</v>
      </c>
      <c r="I14" s="13" t="s">
        <v>285</v>
      </c>
      <c r="J14" s="13" t="s">
        <v>1414</v>
      </c>
      <c r="K14" s="13" t="s">
        <v>285</v>
      </c>
      <c r="L14" s="13" t="s">
        <v>1414</v>
      </c>
      <c r="M14" s="13" t="s">
        <v>285</v>
      </c>
      <c r="N14" s="13" t="s">
        <v>1414</v>
      </c>
      <c r="O14" s="13" t="s">
        <v>285</v>
      </c>
      <c r="P14" s="13" t="s">
        <v>1414</v>
      </c>
      <c r="Q14" s="13" t="s">
        <v>285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284</v>
      </c>
      <c r="B27" s="13" t="s">
        <v>285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781</v>
      </c>
      <c r="B40" t="s">
        <v>299</v>
      </c>
    </row>
    <row r="41" spans="1:4">
      <c r="A41" t="s">
        <v>781</v>
      </c>
      <c r="B41" t="s">
        <v>301</v>
      </c>
    </row>
    <row r="42" spans="1:4">
      <c r="A42" t="s">
        <v>781</v>
      </c>
      <c r="B42" t="s">
        <v>780</v>
      </c>
    </row>
    <row r="43" spans="1:4">
      <c r="A43" t="s">
        <v>781</v>
      </c>
      <c r="B43" t="s">
        <v>779</v>
      </c>
    </row>
    <row r="44" spans="1:4">
      <c r="A44" t="s">
        <v>780</v>
      </c>
      <c r="B44" t="s">
        <v>299</v>
      </c>
    </row>
    <row r="45" spans="1:4">
      <c r="A45" t="s">
        <v>977</v>
      </c>
      <c r="B45" t="s">
        <v>978</v>
      </c>
    </row>
    <row r="46" spans="1:4">
      <c r="A46" t="s">
        <v>977</v>
      </c>
      <c r="B46" t="s">
        <v>301</v>
      </c>
    </row>
    <row r="47" spans="1:4">
      <c r="A47" t="s">
        <v>977</v>
      </c>
      <c r="B47" t="s">
        <v>979</v>
      </c>
    </row>
    <row r="48" spans="1:4">
      <c r="A48" t="s">
        <v>977</v>
      </c>
      <c r="B48" t="s">
        <v>299</v>
      </c>
    </row>
    <row r="49" spans="1:2">
      <c r="A49" t="s">
        <v>977</v>
      </c>
      <c r="B49" t="s">
        <v>980</v>
      </c>
    </row>
    <row r="50" spans="1:2">
      <c r="A50" t="s">
        <v>1303</v>
      </c>
      <c r="B50" t="s">
        <v>299</v>
      </c>
    </row>
    <row r="51" spans="1:2">
      <c r="A51" t="s">
        <v>1307</v>
      </c>
      <c r="B51" t="s">
        <v>301</v>
      </c>
    </row>
    <row r="52" spans="1:2">
      <c r="A52" t="s">
        <v>1307</v>
      </c>
      <c r="B52" t="s">
        <v>1270</v>
      </c>
    </row>
    <row r="53" spans="1:2">
      <c r="A53" t="s">
        <v>1307</v>
      </c>
      <c r="B53" t="s">
        <v>1308</v>
      </c>
    </row>
    <row r="54" spans="1:2">
      <c r="A54" t="s">
        <v>1307</v>
      </c>
      <c r="B54" t="s">
        <v>299</v>
      </c>
    </row>
    <row r="55" spans="1:2">
      <c r="A55" t="s">
        <v>1309</v>
      </c>
      <c r="B55" t="s">
        <v>1278</v>
      </c>
    </row>
    <row r="56" spans="1:2">
      <c r="A56" t="s">
        <v>1309</v>
      </c>
      <c r="B56" t="s">
        <v>1310</v>
      </c>
    </row>
    <row r="57" spans="1:2">
      <c r="A57" t="s">
        <v>1309</v>
      </c>
      <c r="B57" t="s">
        <v>301</v>
      </c>
    </row>
    <row r="58" spans="1:2">
      <c r="A58" t="s">
        <v>1309</v>
      </c>
      <c r="B58" t="s">
        <v>302</v>
      </c>
    </row>
    <row r="59" spans="1:2">
      <c r="A59" t="s">
        <v>1309</v>
      </c>
      <c r="B59" t="s">
        <v>299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830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868</v>
      </c>
      <c r="C133" s="4" t="s">
        <v>854</v>
      </c>
    </row>
    <row r="134" spans="1:4">
      <c r="A134" t="s">
        <v>301</v>
      </c>
      <c r="B134" t="s">
        <v>869</v>
      </c>
      <c r="C134" s="4" t="s">
        <v>854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738</v>
      </c>
      <c r="C148" s="4" t="s">
        <v>14</v>
      </c>
    </row>
    <row r="149" spans="1:3">
      <c r="A149" t="s">
        <v>301</v>
      </c>
      <c r="B149" t="s">
        <v>739</v>
      </c>
      <c r="C149" s="4" t="s">
        <v>14</v>
      </c>
    </row>
    <row r="150" spans="1:3">
      <c r="A150" t="s">
        <v>301</v>
      </c>
      <c r="B150" t="s">
        <v>943</v>
      </c>
      <c r="C150" s="4" t="s">
        <v>944</v>
      </c>
    </row>
    <row r="151" spans="1:3">
      <c r="A151" t="s">
        <v>301</v>
      </c>
      <c r="B151" t="s">
        <v>945</v>
      </c>
      <c r="C151" s="4" t="s">
        <v>305</v>
      </c>
    </row>
    <row r="152" spans="1:3">
      <c r="A152" t="s">
        <v>301</v>
      </c>
      <c r="B152" t="s">
        <v>946</v>
      </c>
      <c r="C152" s="4" t="s">
        <v>305</v>
      </c>
    </row>
    <row r="153" spans="1:3">
      <c r="A153" t="s">
        <v>301</v>
      </c>
      <c r="B153" t="s">
        <v>947</v>
      </c>
      <c r="C153" s="4" t="s">
        <v>944</v>
      </c>
    </row>
    <row r="154" spans="1:3">
      <c r="A154" t="s">
        <v>301</v>
      </c>
      <c r="B154" t="s">
        <v>948</v>
      </c>
      <c r="C154" s="4" t="s">
        <v>305</v>
      </c>
    </row>
    <row r="155" spans="1:3">
      <c r="A155" t="s">
        <v>301</v>
      </c>
      <c r="B155" t="s">
        <v>949</v>
      </c>
      <c r="C155" s="4" t="s">
        <v>305</v>
      </c>
    </row>
    <row r="156" spans="1:3">
      <c r="A156" t="s">
        <v>301</v>
      </c>
      <c r="B156" t="s">
        <v>950</v>
      </c>
      <c r="C156" s="4" t="s">
        <v>944</v>
      </c>
    </row>
    <row r="157" spans="1:3">
      <c r="A157" t="s">
        <v>301</v>
      </c>
      <c r="B157" t="s">
        <v>951</v>
      </c>
      <c r="C157" s="4" t="s">
        <v>305</v>
      </c>
    </row>
    <row r="158" spans="1:3">
      <c r="A158" t="s">
        <v>301</v>
      </c>
      <c r="B158" t="s">
        <v>952</v>
      </c>
      <c r="C158" s="4" t="s">
        <v>305</v>
      </c>
    </row>
    <row r="159" spans="1:3">
      <c r="A159" t="s">
        <v>301</v>
      </c>
      <c r="B159" t="s">
        <v>953</v>
      </c>
      <c r="C159" s="4" t="s">
        <v>944</v>
      </c>
    </row>
    <row r="160" spans="1:3">
      <c r="A160" t="s">
        <v>301</v>
      </c>
      <c r="B160" t="s">
        <v>954</v>
      </c>
      <c r="C160" s="4" t="s">
        <v>305</v>
      </c>
    </row>
    <row r="161" spans="1:3">
      <c r="A161" t="s">
        <v>301</v>
      </c>
      <c r="B161" t="s">
        <v>955</v>
      </c>
      <c r="C161" s="4" t="s">
        <v>305</v>
      </c>
    </row>
    <row r="162" spans="1:3">
      <c r="A162" t="s">
        <v>301</v>
      </c>
      <c r="B162" t="s">
        <v>956</v>
      </c>
      <c r="C162" s="4" t="s">
        <v>944</v>
      </c>
    </row>
    <row r="163" spans="1:3">
      <c r="A163" t="s">
        <v>301</v>
      </c>
      <c r="B163" t="s">
        <v>957</v>
      </c>
      <c r="C163" s="4" t="s">
        <v>305</v>
      </c>
    </row>
    <row r="164" spans="1:3">
      <c r="A164" t="s">
        <v>301</v>
      </c>
      <c r="B164" t="s">
        <v>958</v>
      </c>
      <c r="C164" s="4" t="s">
        <v>305</v>
      </c>
    </row>
    <row r="165" spans="1:3" ht="30">
      <c r="A165" t="s">
        <v>754</v>
      </c>
      <c r="B165" t="s">
        <v>757</v>
      </c>
      <c r="C165" s="85" t="s">
        <v>782</v>
      </c>
    </row>
    <row r="166" spans="1:3">
      <c r="A166" t="s">
        <v>754</v>
      </c>
      <c r="B166" t="s">
        <v>758</v>
      </c>
      <c r="C166" s="84">
        <v>2</v>
      </c>
    </row>
    <row r="167" spans="1:3">
      <c r="A167" t="s">
        <v>754</v>
      </c>
      <c r="B167" t="s">
        <v>755</v>
      </c>
      <c r="C167" s="83" t="s">
        <v>756</v>
      </c>
    </row>
    <row r="168" spans="1:3">
      <c r="A168" t="s">
        <v>754</v>
      </c>
      <c r="B168" t="s">
        <v>759</v>
      </c>
      <c r="C168" s="4" t="s">
        <v>760</v>
      </c>
    </row>
    <row r="169" spans="1:3">
      <c r="A169" t="s">
        <v>754</v>
      </c>
      <c r="B169" t="s">
        <v>761</v>
      </c>
      <c r="C169" s="4" t="s">
        <v>760</v>
      </c>
    </row>
    <row r="170" spans="1:3">
      <c r="A170" t="s">
        <v>754</v>
      </c>
      <c r="B170" t="s">
        <v>762</v>
      </c>
      <c r="C170" s="4" t="s">
        <v>760</v>
      </c>
    </row>
    <row r="171" spans="1:3">
      <c r="A171" t="s">
        <v>754</v>
      </c>
      <c r="B171" t="s">
        <v>763</v>
      </c>
      <c r="C171" s="4" t="s">
        <v>760</v>
      </c>
    </row>
    <row r="172" spans="1:3">
      <c r="A172" t="s">
        <v>754</v>
      </c>
      <c r="B172" t="s">
        <v>764</v>
      </c>
      <c r="C172" s="4" t="s">
        <v>765</v>
      </c>
    </row>
    <row r="173" spans="1:3">
      <c r="A173" t="s">
        <v>754</v>
      </c>
      <c r="B173" t="s">
        <v>766</v>
      </c>
      <c r="C173" s="4" t="s">
        <v>769</v>
      </c>
    </row>
    <row r="174" spans="1:3">
      <c r="A174" t="s">
        <v>754</v>
      </c>
      <c r="B174" t="s">
        <v>767</v>
      </c>
      <c r="C174" s="4" t="s">
        <v>770</v>
      </c>
    </row>
    <row r="175" spans="1:3">
      <c r="A175" t="s">
        <v>754</v>
      </c>
      <c r="B175" t="s">
        <v>768</v>
      </c>
      <c r="C175" s="4" t="s">
        <v>765</v>
      </c>
    </row>
    <row r="176" spans="1:3">
      <c r="A176" t="s">
        <v>754</v>
      </c>
      <c r="B176" t="s">
        <v>771</v>
      </c>
      <c r="C176" s="4" t="s">
        <v>774</v>
      </c>
    </row>
    <row r="177" spans="1:3">
      <c r="A177" t="s">
        <v>754</v>
      </c>
      <c r="B177" t="s">
        <v>772</v>
      </c>
      <c r="C177" s="4" t="s">
        <v>775</v>
      </c>
    </row>
    <row r="178" spans="1:3">
      <c r="A178" t="s">
        <v>754</v>
      </c>
      <c r="B178" t="s">
        <v>773</v>
      </c>
      <c r="C178" s="4" t="s">
        <v>776</v>
      </c>
    </row>
    <row r="179" spans="1:3">
      <c r="A179" t="s">
        <v>754</v>
      </c>
      <c r="B179" t="s">
        <v>777</v>
      </c>
      <c r="C179" s="4" t="s">
        <v>774</v>
      </c>
    </row>
    <row r="180" spans="1:3">
      <c r="A180" t="s">
        <v>754</v>
      </c>
      <c r="B180" t="s">
        <v>778</v>
      </c>
      <c r="C180" s="4" t="s">
        <v>775</v>
      </c>
    </row>
    <row r="181" spans="1:3">
      <c r="A181" t="s">
        <v>829</v>
      </c>
      <c r="B181" t="s">
        <v>783</v>
      </c>
      <c r="C181" s="84">
        <v>0</v>
      </c>
    </row>
    <row r="182" spans="1:3">
      <c r="A182" t="s">
        <v>829</v>
      </c>
      <c r="B182" t="s">
        <v>784</v>
      </c>
      <c r="C182" s="4" t="s">
        <v>482</v>
      </c>
    </row>
    <row r="183" spans="1:3">
      <c r="A183" t="s">
        <v>829</v>
      </c>
      <c r="B183" t="s">
        <v>785</v>
      </c>
      <c r="C183" s="4" t="s">
        <v>635</v>
      </c>
    </row>
    <row r="184" spans="1:3">
      <c r="A184" t="s">
        <v>829</v>
      </c>
      <c r="B184" t="s">
        <v>786</v>
      </c>
      <c r="C184" s="4" t="s">
        <v>482</v>
      </c>
    </row>
    <row r="185" spans="1:3">
      <c r="A185" t="s">
        <v>829</v>
      </c>
      <c r="B185" t="s">
        <v>787</v>
      </c>
      <c r="C185" s="4" t="s">
        <v>635</v>
      </c>
    </row>
    <row r="186" spans="1:3">
      <c r="A186" t="s">
        <v>829</v>
      </c>
      <c r="B186" t="s">
        <v>788</v>
      </c>
      <c r="C186" s="84">
        <v>0</v>
      </c>
    </row>
    <row r="187" spans="1:3">
      <c r="A187" t="s">
        <v>829</v>
      </c>
      <c r="B187" t="s">
        <v>789</v>
      </c>
      <c r="C187" s="84">
        <v>0</v>
      </c>
    </row>
    <row r="188" spans="1:3">
      <c r="A188" t="s">
        <v>829</v>
      </c>
      <c r="B188" t="s">
        <v>790</v>
      </c>
      <c r="C188" s="84" t="s">
        <v>756</v>
      </c>
    </row>
    <row r="189" spans="1:3">
      <c r="A189" t="s">
        <v>829</v>
      </c>
      <c r="B189" t="s">
        <v>791</v>
      </c>
      <c r="C189" s="84" t="s">
        <v>765</v>
      </c>
    </row>
    <row r="190" spans="1:3">
      <c r="A190" t="s">
        <v>829</v>
      </c>
      <c r="B190" t="s">
        <v>792</v>
      </c>
      <c r="C190" s="84" t="s">
        <v>765</v>
      </c>
    </row>
    <row r="191" spans="1:3">
      <c r="A191" t="s">
        <v>829</v>
      </c>
      <c r="B191" t="s">
        <v>793</v>
      </c>
      <c r="C191" s="84" t="s">
        <v>765</v>
      </c>
    </row>
    <row r="192" spans="1:3">
      <c r="A192" t="s">
        <v>829</v>
      </c>
      <c r="B192" t="s">
        <v>794</v>
      </c>
      <c r="C192" s="84" t="s">
        <v>765</v>
      </c>
    </row>
    <row r="193" spans="1:3">
      <c r="A193" t="s">
        <v>829</v>
      </c>
      <c r="B193" t="s">
        <v>795</v>
      </c>
      <c r="C193" s="84" t="s">
        <v>765</v>
      </c>
    </row>
    <row r="194" spans="1:3">
      <c r="A194" t="s">
        <v>829</v>
      </c>
      <c r="B194" t="s">
        <v>796</v>
      </c>
      <c r="C194" s="84" t="s">
        <v>765</v>
      </c>
    </row>
    <row r="195" spans="1:3">
      <c r="A195" t="s">
        <v>829</v>
      </c>
      <c r="B195" t="s">
        <v>797</v>
      </c>
      <c r="C195" s="84" t="s">
        <v>765</v>
      </c>
    </row>
    <row r="196" spans="1:3">
      <c r="A196" t="s">
        <v>829</v>
      </c>
      <c r="B196" t="s">
        <v>798</v>
      </c>
      <c r="C196" s="84" t="s">
        <v>765</v>
      </c>
    </row>
    <row r="197" spans="1:3">
      <c r="A197" t="s">
        <v>829</v>
      </c>
      <c r="B197" t="s">
        <v>799</v>
      </c>
      <c r="C197" s="84" t="s">
        <v>776</v>
      </c>
    </row>
    <row r="198" spans="1:3">
      <c r="A198" t="s">
        <v>829</v>
      </c>
      <c r="B198" t="s">
        <v>800</v>
      </c>
      <c r="C198" s="84" t="s">
        <v>776</v>
      </c>
    </row>
    <row r="199" spans="1:3">
      <c r="A199" t="s">
        <v>829</v>
      </c>
      <c r="B199" t="s">
        <v>801</v>
      </c>
      <c r="C199" s="84" t="s">
        <v>776</v>
      </c>
    </row>
    <row r="200" spans="1:3">
      <c r="A200" t="s">
        <v>829</v>
      </c>
      <c r="B200" t="s">
        <v>802</v>
      </c>
      <c r="C200" s="84" t="s">
        <v>776</v>
      </c>
    </row>
    <row r="201" spans="1:3">
      <c r="A201" t="s">
        <v>829</v>
      </c>
      <c r="B201" t="s">
        <v>803</v>
      </c>
      <c r="C201" s="84" t="s">
        <v>776</v>
      </c>
    </row>
    <row r="202" spans="1:3">
      <c r="A202" t="s">
        <v>829</v>
      </c>
      <c r="B202" t="s">
        <v>804</v>
      </c>
      <c r="C202" s="84" t="s">
        <v>711</v>
      </c>
    </row>
    <row r="203" spans="1:3">
      <c r="A203" t="s">
        <v>829</v>
      </c>
      <c r="B203" t="s">
        <v>805</v>
      </c>
      <c r="C203" s="84" t="s">
        <v>712</v>
      </c>
    </row>
    <row r="204" spans="1:3">
      <c r="A204" t="s">
        <v>829</v>
      </c>
      <c r="B204" t="s">
        <v>806</v>
      </c>
      <c r="C204" s="84" t="s">
        <v>828</v>
      </c>
    </row>
    <row r="205" spans="1:3">
      <c r="A205" t="s">
        <v>829</v>
      </c>
      <c r="B205" t="s">
        <v>807</v>
      </c>
      <c r="C205" s="84" t="s">
        <v>711</v>
      </c>
    </row>
    <row r="206" spans="1:3">
      <c r="A206" t="s">
        <v>829</v>
      </c>
      <c r="B206" t="s">
        <v>808</v>
      </c>
      <c r="C206" s="84" t="s">
        <v>712</v>
      </c>
    </row>
    <row r="207" spans="1:3">
      <c r="A207" t="s">
        <v>829</v>
      </c>
      <c r="B207" t="s">
        <v>809</v>
      </c>
      <c r="C207" s="84" t="s">
        <v>828</v>
      </c>
    </row>
    <row r="208" spans="1:3">
      <c r="A208" t="s">
        <v>829</v>
      </c>
      <c r="B208" t="s">
        <v>810</v>
      </c>
      <c r="C208" s="84" t="s">
        <v>711</v>
      </c>
    </row>
    <row r="209" spans="1:3">
      <c r="A209" t="s">
        <v>829</v>
      </c>
      <c r="B209" t="s">
        <v>811</v>
      </c>
      <c r="C209" s="84" t="s">
        <v>712</v>
      </c>
    </row>
    <row r="210" spans="1:3">
      <c r="A210" t="s">
        <v>829</v>
      </c>
      <c r="B210" t="s">
        <v>812</v>
      </c>
      <c r="C210" s="84" t="s">
        <v>828</v>
      </c>
    </row>
    <row r="211" spans="1:3">
      <c r="A211" t="s">
        <v>829</v>
      </c>
      <c r="B211" t="s">
        <v>813</v>
      </c>
      <c r="C211" s="84" t="s">
        <v>711</v>
      </c>
    </row>
    <row r="212" spans="1:3">
      <c r="A212" t="s">
        <v>829</v>
      </c>
      <c r="B212" t="s">
        <v>814</v>
      </c>
      <c r="C212" s="84" t="s">
        <v>712</v>
      </c>
    </row>
    <row r="213" spans="1:3">
      <c r="A213" t="s">
        <v>829</v>
      </c>
      <c r="B213" t="s">
        <v>815</v>
      </c>
      <c r="C213" s="84" t="s">
        <v>828</v>
      </c>
    </row>
    <row r="214" spans="1:3">
      <c r="A214" t="s">
        <v>829</v>
      </c>
      <c r="B214" t="s">
        <v>816</v>
      </c>
      <c r="C214" s="84" t="s">
        <v>711</v>
      </c>
    </row>
    <row r="215" spans="1:3">
      <c r="A215" t="s">
        <v>829</v>
      </c>
      <c r="B215" t="s">
        <v>817</v>
      </c>
      <c r="C215" s="84" t="s">
        <v>712</v>
      </c>
    </row>
    <row r="216" spans="1:3">
      <c r="A216" t="s">
        <v>829</v>
      </c>
      <c r="B216" t="s">
        <v>818</v>
      </c>
      <c r="C216" s="84" t="s">
        <v>828</v>
      </c>
    </row>
    <row r="217" spans="1:3">
      <c r="A217" t="s">
        <v>829</v>
      </c>
      <c r="B217" t="s">
        <v>819</v>
      </c>
      <c r="C217" s="84" t="s">
        <v>711</v>
      </c>
    </row>
    <row r="218" spans="1:3">
      <c r="A218" t="s">
        <v>829</v>
      </c>
      <c r="B218" t="s">
        <v>820</v>
      </c>
      <c r="C218" s="84" t="s">
        <v>712</v>
      </c>
    </row>
    <row r="219" spans="1:3">
      <c r="A219" t="s">
        <v>829</v>
      </c>
      <c r="B219" t="s">
        <v>821</v>
      </c>
      <c r="C219" s="84" t="s">
        <v>828</v>
      </c>
    </row>
    <row r="220" spans="1:3">
      <c r="A220" t="s">
        <v>829</v>
      </c>
      <c r="B220" t="s">
        <v>822</v>
      </c>
      <c r="C220" s="84" t="s">
        <v>711</v>
      </c>
    </row>
    <row r="221" spans="1:3">
      <c r="A221" t="s">
        <v>829</v>
      </c>
      <c r="B221" t="s">
        <v>823</v>
      </c>
      <c r="C221" s="84" t="s">
        <v>712</v>
      </c>
    </row>
    <row r="222" spans="1:3">
      <c r="A222" t="s">
        <v>829</v>
      </c>
      <c r="B222" t="s">
        <v>824</v>
      </c>
      <c r="C222" s="84" t="s">
        <v>828</v>
      </c>
    </row>
    <row r="223" spans="1:3">
      <c r="A223" t="s">
        <v>829</v>
      </c>
      <c r="B223" t="s">
        <v>825</v>
      </c>
      <c r="C223" s="84" t="s">
        <v>711</v>
      </c>
    </row>
    <row r="224" spans="1:3">
      <c r="A224" t="s">
        <v>829</v>
      </c>
      <c r="B224" t="s">
        <v>826</v>
      </c>
      <c r="C224" s="84" t="s">
        <v>712</v>
      </c>
    </row>
    <row r="225" spans="1:3">
      <c r="A225" t="s">
        <v>829</v>
      </c>
      <c r="B225" t="s">
        <v>827</v>
      </c>
      <c r="C225" s="84" t="s">
        <v>828</v>
      </c>
    </row>
    <row r="226" spans="1:3">
      <c r="A226" t="s">
        <v>1270</v>
      </c>
      <c r="B226" t="s">
        <v>1271</v>
      </c>
      <c r="C226" s="4" t="s">
        <v>1169</v>
      </c>
    </row>
    <row r="227" spans="1:3">
      <c r="A227" t="s">
        <v>1270</v>
      </c>
      <c r="B227" t="s">
        <v>1272</v>
      </c>
      <c r="C227" s="4" t="s">
        <v>1170</v>
      </c>
    </row>
    <row r="228" spans="1:3">
      <c r="A228" t="s">
        <v>1270</v>
      </c>
      <c r="B228" t="s">
        <v>1273</v>
      </c>
      <c r="C228" s="4" t="s">
        <v>1277</v>
      </c>
    </row>
    <row r="229" spans="1:3">
      <c r="A229" t="s">
        <v>1270</v>
      </c>
      <c r="B229" t="s">
        <v>1274</v>
      </c>
      <c r="C229" s="4" t="s">
        <v>1169</v>
      </c>
    </row>
    <row r="230" spans="1:3">
      <c r="A230" t="s">
        <v>1270</v>
      </c>
      <c r="B230" t="s">
        <v>1275</v>
      </c>
      <c r="C230" t="s">
        <v>1170</v>
      </c>
    </row>
    <row r="231" spans="1:3">
      <c r="A231" t="s">
        <v>1270</v>
      </c>
      <c r="B231" t="s">
        <v>1276</v>
      </c>
      <c r="C231" t="s">
        <v>1277</v>
      </c>
    </row>
    <row r="232" spans="1:3">
      <c r="A232" t="s">
        <v>1278</v>
      </c>
      <c r="B232" t="s">
        <v>1279</v>
      </c>
      <c r="C232" s="84" t="s">
        <v>1169</v>
      </c>
    </row>
    <row r="233" spans="1:3">
      <c r="A233" t="s">
        <v>1278</v>
      </c>
      <c r="B233" t="s">
        <v>1280</v>
      </c>
      <c r="C233" s="84" t="s">
        <v>1170</v>
      </c>
    </row>
    <row r="234" spans="1:3">
      <c r="A234" t="s">
        <v>1278</v>
      </c>
      <c r="B234" t="s">
        <v>1281</v>
      </c>
      <c r="C234" s="84" t="s">
        <v>1277</v>
      </c>
    </row>
    <row r="235" spans="1:3">
      <c r="A235" t="s">
        <v>1278</v>
      </c>
      <c r="B235" t="s">
        <v>1282</v>
      </c>
      <c r="C235" s="84" t="s">
        <v>1169</v>
      </c>
    </row>
    <row r="236" spans="1:3">
      <c r="A236" t="s">
        <v>1278</v>
      </c>
      <c r="B236" t="s">
        <v>1283</v>
      </c>
      <c r="C236" s="84" t="s">
        <v>1170</v>
      </c>
    </row>
    <row r="237" spans="1:3">
      <c r="A237" t="s">
        <v>1278</v>
      </c>
      <c r="B237" t="s">
        <v>1284</v>
      </c>
      <c r="C237" s="84" t="s">
        <v>1277</v>
      </c>
    </row>
    <row r="238" spans="1:3">
      <c r="A238" t="s">
        <v>1278</v>
      </c>
      <c r="B238" t="s">
        <v>1285</v>
      </c>
      <c r="C238" s="84" t="s">
        <v>1169</v>
      </c>
    </row>
    <row r="239" spans="1:3">
      <c r="A239" t="s">
        <v>1278</v>
      </c>
      <c r="B239" t="s">
        <v>1286</v>
      </c>
      <c r="C239" s="84" t="s">
        <v>1170</v>
      </c>
    </row>
    <row r="240" spans="1:3">
      <c r="A240" t="s">
        <v>1278</v>
      </c>
      <c r="B240" t="s">
        <v>1287</v>
      </c>
      <c r="C240" s="84" t="s">
        <v>1277</v>
      </c>
    </row>
    <row r="241" spans="1:3">
      <c r="A241" t="s">
        <v>1278</v>
      </c>
      <c r="B241" t="s">
        <v>1288</v>
      </c>
      <c r="C241" s="84" t="s">
        <v>1169</v>
      </c>
    </row>
    <row r="242" spans="1:3">
      <c r="A242" t="s">
        <v>1278</v>
      </c>
      <c r="B242" t="s">
        <v>1289</v>
      </c>
      <c r="C242" s="84" t="s">
        <v>1170</v>
      </c>
    </row>
    <row r="243" spans="1:3">
      <c r="A243" t="s">
        <v>1278</v>
      </c>
      <c r="B243" t="s">
        <v>1290</v>
      </c>
      <c r="C243" s="84" t="s">
        <v>1277</v>
      </c>
    </row>
    <row r="244" spans="1:3">
      <c r="A244" t="s">
        <v>1278</v>
      </c>
      <c r="B244" t="s">
        <v>1291</v>
      </c>
      <c r="C244" s="84" t="s">
        <v>1169</v>
      </c>
    </row>
    <row r="245" spans="1:3">
      <c r="A245" t="s">
        <v>1278</v>
      </c>
      <c r="B245" t="s">
        <v>1292</v>
      </c>
      <c r="C245" s="84" t="s">
        <v>1170</v>
      </c>
    </row>
    <row r="246" spans="1:3">
      <c r="A246" t="s">
        <v>1278</v>
      </c>
      <c r="B246" t="s">
        <v>1293</v>
      </c>
      <c r="C246" s="84" t="s">
        <v>1277</v>
      </c>
    </row>
    <row r="247" spans="1:3">
      <c r="A247" t="s">
        <v>1278</v>
      </c>
      <c r="B247" t="s">
        <v>1294</v>
      </c>
      <c r="C247" s="84" t="s">
        <v>1169</v>
      </c>
    </row>
    <row r="248" spans="1:3">
      <c r="A248" t="s">
        <v>1278</v>
      </c>
      <c r="B248" t="s">
        <v>1295</v>
      </c>
      <c r="C248" s="84" t="s">
        <v>1170</v>
      </c>
    </row>
    <row r="249" spans="1:3">
      <c r="A249" t="s">
        <v>1278</v>
      </c>
      <c r="B249" t="s">
        <v>1296</v>
      </c>
      <c r="C249" s="84" t="s">
        <v>1277</v>
      </c>
    </row>
    <row r="250" spans="1:3">
      <c r="A250" t="s">
        <v>1278</v>
      </c>
      <c r="B250" t="s">
        <v>1297</v>
      </c>
      <c r="C250" s="84" t="s">
        <v>1169</v>
      </c>
    </row>
    <row r="251" spans="1:3">
      <c r="A251" t="s">
        <v>1278</v>
      </c>
      <c r="B251" t="s">
        <v>1298</v>
      </c>
      <c r="C251" s="84" t="s">
        <v>1170</v>
      </c>
    </row>
    <row r="252" spans="1:3">
      <c r="A252" t="s">
        <v>1278</v>
      </c>
      <c r="B252" t="s">
        <v>1299</v>
      </c>
      <c r="C252" s="84" t="s">
        <v>1277</v>
      </c>
    </row>
    <row r="253" spans="1:3">
      <c r="A253" t="s">
        <v>1278</v>
      </c>
      <c r="B253" t="s">
        <v>1300</v>
      </c>
      <c r="C253" s="84" t="s">
        <v>1169</v>
      </c>
    </row>
    <row r="254" spans="1:3">
      <c r="A254" t="s">
        <v>1278</v>
      </c>
      <c r="B254" t="s">
        <v>1301</v>
      </c>
      <c r="C254" s="84" t="s">
        <v>1170</v>
      </c>
    </row>
    <row r="255" spans="1:3">
      <c r="A255" t="s">
        <v>1278</v>
      </c>
      <c r="B255" t="s">
        <v>1302</v>
      </c>
      <c r="C255" s="84" t="s">
        <v>1277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688</v>
      </c>
      <c r="D271" s="13" t="s">
        <v>697</v>
      </c>
    </row>
    <row r="272" spans="1:4" ht="150">
      <c r="A272" s="70" t="s">
        <v>689</v>
      </c>
      <c r="B272" s="70" t="s">
        <v>686</v>
      </c>
      <c r="C272" s="70" t="s">
        <v>687</v>
      </c>
      <c r="D272" s="11" t="s">
        <v>694</v>
      </c>
    </row>
    <row r="273" spans="1:4" ht="255">
      <c r="A273" s="70" t="s">
        <v>689</v>
      </c>
      <c r="B273" s="70" t="s">
        <v>690</v>
      </c>
      <c r="C273" s="70" t="s">
        <v>691</v>
      </c>
      <c r="D273" s="11" t="s">
        <v>692</v>
      </c>
    </row>
    <row r="274" spans="1:4" ht="150">
      <c r="A274" s="70" t="s">
        <v>689</v>
      </c>
      <c r="B274" s="70" t="s">
        <v>686</v>
      </c>
      <c r="C274" s="70" t="s">
        <v>693</v>
      </c>
      <c r="D274" s="11" t="s">
        <v>694</v>
      </c>
    </row>
    <row r="275" spans="1:4" ht="255">
      <c r="A275" s="70" t="s">
        <v>689</v>
      </c>
      <c r="B275" s="70" t="s">
        <v>690</v>
      </c>
      <c r="C275" s="70" t="s">
        <v>695</v>
      </c>
      <c r="D275" s="11" t="s">
        <v>696</v>
      </c>
    </row>
    <row r="276" spans="1:4" ht="240">
      <c r="A276" s="70" t="s">
        <v>977</v>
      </c>
      <c r="B276" s="70" t="s">
        <v>981</v>
      </c>
      <c r="C276" s="70" t="s">
        <v>982</v>
      </c>
      <c r="D276" s="11" t="s">
        <v>983</v>
      </c>
    </row>
    <row r="277" spans="1:4" ht="240">
      <c r="A277" s="70" t="s">
        <v>977</v>
      </c>
      <c r="B277" s="70" t="s">
        <v>981</v>
      </c>
      <c r="C277" s="70" t="s">
        <v>984</v>
      </c>
      <c r="D277" s="11" t="s">
        <v>983</v>
      </c>
    </row>
    <row r="278" spans="1:4" ht="240">
      <c r="A278" s="70" t="s">
        <v>977</v>
      </c>
      <c r="B278" s="70" t="s">
        <v>981</v>
      </c>
      <c r="C278" s="70" t="s">
        <v>985</v>
      </c>
      <c r="D278" s="11" t="s">
        <v>983</v>
      </c>
    </row>
    <row r="279" spans="1:4" ht="240">
      <c r="A279" s="70" t="s">
        <v>977</v>
      </c>
      <c r="B279" s="70" t="s">
        <v>981</v>
      </c>
      <c r="C279" s="70" t="s">
        <v>986</v>
      </c>
      <c r="D279" s="11" t="s">
        <v>983</v>
      </c>
    </row>
    <row r="292" spans="1:4">
      <c r="A292" s="13" t="s">
        <v>753</v>
      </c>
    </row>
    <row r="293" spans="1:4">
      <c r="A293" s="13" t="s">
        <v>297</v>
      </c>
      <c r="B293" s="13" t="s">
        <v>685</v>
      </c>
      <c r="C293" s="13" t="s">
        <v>688</v>
      </c>
      <c r="D293" s="13" t="s">
        <v>697</v>
      </c>
    </row>
    <row r="294" spans="1:4">
      <c r="A294" s="70" t="s">
        <v>715</v>
      </c>
      <c r="B294" s="70" t="s">
        <v>719</v>
      </c>
      <c r="C294" s="70" t="s">
        <v>720</v>
      </c>
      <c r="D294" t="s">
        <v>721</v>
      </c>
    </row>
    <row r="295" spans="1:4" ht="330">
      <c r="A295" s="70" t="s">
        <v>715</v>
      </c>
      <c r="B295" s="70" t="s">
        <v>716</v>
      </c>
      <c r="C295" s="70" t="s">
        <v>717</v>
      </c>
      <c r="D295" s="11" t="s">
        <v>718</v>
      </c>
    </row>
    <row r="296" spans="1:4" ht="330">
      <c r="A296" t="s">
        <v>1303</v>
      </c>
      <c r="B296" s="129" t="s">
        <v>1304</v>
      </c>
      <c r="C296" s="129" t="s">
        <v>1305</v>
      </c>
      <c r="D296" s="11" t="s">
        <v>1306</v>
      </c>
    </row>
    <row r="308" spans="1:2">
      <c r="A308" s="13" t="s">
        <v>1424</v>
      </c>
    </row>
    <row r="309" spans="1:2">
      <c r="A309" s="13" t="s">
        <v>297</v>
      </c>
      <c r="B309" s="13" t="s">
        <v>1423</v>
      </c>
    </row>
    <row r="310" spans="1:2" ht="150">
      <c r="A310" t="s">
        <v>1270</v>
      </c>
      <c r="B310" s="11" t="s">
        <v>1524</v>
      </c>
    </row>
    <row r="322" spans="1:4">
      <c r="A322" s="70"/>
      <c r="B322" s="137"/>
      <c r="C322" s="70"/>
      <c r="D322" s="11"/>
    </row>
  </sheetData>
  <sheetProtection algorithmName="SHA-512" hashValue="fI4/5S26sf7j0z85JDmkhTiXqqPi/WUh3U4jDhGekQRLQVxWXv9rMxd8Dn65kwZRHFx17LKBB5bo4+SLoz6mXQ==" saltValue="ZVwq901KEILU0oPV2fRPnQ==" spinCount="100000" sheet="1" objects="1" scenarios="1"/>
  <phoneticPr fontId="1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1"/>
  <sheetViews>
    <sheetView workbookViewId="0">
      <selection activeCell="E37" sqref="E37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1351</v>
      </c>
    </row>
    <row r="3" spans="1:23">
      <c r="B3" s="135" t="s">
        <v>1350</v>
      </c>
      <c r="C3" s="135" t="s">
        <v>1352</v>
      </c>
      <c r="D3" s="135" t="s">
        <v>1353</v>
      </c>
      <c r="E3" s="135" t="s">
        <v>1437</v>
      </c>
    </row>
    <row r="4" spans="1:23" s="361" customFormat="1">
      <c r="A4" s="132"/>
      <c r="B4" s="376" t="s">
        <v>1514</v>
      </c>
      <c r="C4" s="377">
        <v>43136</v>
      </c>
      <c r="D4" s="378" t="s">
        <v>1515</v>
      </c>
      <c r="E4" s="378" t="s">
        <v>1516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>
      <c r="B5" s="417" t="s">
        <v>1436</v>
      </c>
      <c r="C5" s="420" t="s">
        <v>1438</v>
      </c>
      <c r="D5" s="133" t="s">
        <v>1426</v>
      </c>
      <c r="E5" s="133" t="s">
        <v>1431</v>
      </c>
    </row>
    <row r="6" spans="1:23">
      <c r="B6" s="418"/>
      <c r="C6" s="421"/>
      <c r="D6" s="133" t="s">
        <v>1433</v>
      </c>
      <c r="E6" s="133" t="s">
        <v>1435</v>
      </c>
    </row>
    <row r="7" spans="1:23">
      <c r="B7" s="418"/>
      <c r="C7" s="421"/>
      <c r="D7" s="133" t="s">
        <v>1434</v>
      </c>
      <c r="E7" s="133" t="s">
        <v>1435</v>
      </c>
    </row>
    <row r="8" spans="1:23">
      <c r="B8" s="418"/>
      <c r="C8" s="421"/>
      <c r="D8" s="133" t="s">
        <v>1427</v>
      </c>
      <c r="E8" s="133" t="s">
        <v>1432</v>
      </c>
    </row>
    <row r="9" spans="1:23">
      <c r="B9" s="418"/>
      <c r="C9" s="421"/>
      <c r="D9" s="133" t="s">
        <v>1428</v>
      </c>
      <c r="E9" s="133" t="s">
        <v>1432</v>
      </c>
    </row>
    <row r="10" spans="1:23">
      <c r="B10" s="418"/>
      <c r="C10" s="421"/>
      <c r="D10" s="133" t="s">
        <v>1429</v>
      </c>
      <c r="E10" s="133" t="s">
        <v>1432</v>
      </c>
    </row>
    <row r="11" spans="1:23">
      <c r="B11" s="419"/>
      <c r="C11" s="422"/>
      <c r="D11" s="133" t="s">
        <v>1430</v>
      </c>
      <c r="E11" s="133" t="s">
        <v>1432</v>
      </c>
    </row>
    <row r="12" spans="1:23">
      <c r="B12" s="134" t="s">
        <v>1442</v>
      </c>
      <c r="C12" s="133" t="s">
        <v>1366</v>
      </c>
      <c r="D12" s="133" t="s">
        <v>1367</v>
      </c>
      <c r="E12" s="133" t="s">
        <v>1368</v>
      </c>
    </row>
    <row r="13" spans="1:23">
      <c r="B13" s="134" t="s">
        <v>1441</v>
      </c>
      <c r="C13" s="133" t="s">
        <v>1364</v>
      </c>
      <c r="D13" s="133" t="s">
        <v>1365</v>
      </c>
      <c r="E13" s="133" t="s">
        <v>1368</v>
      </c>
    </row>
    <row r="14" spans="1:23">
      <c r="B14" s="138" t="s">
        <v>1440</v>
      </c>
      <c r="C14" s="138" t="s">
        <v>1362</v>
      </c>
      <c r="D14" s="133" t="s">
        <v>1360</v>
      </c>
      <c r="E14" s="133" t="s">
        <v>1363</v>
      </c>
    </row>
    <row r="15" spans="1:23">
      <c r="B15" s="411" t="s">
        <v>1439</v>
      </c>
      <c r="C15" s="414" t="s">
        <v>1361</v>
      </c>
      <c r="D15" s="133" t="s">
        <v>1354</v>
      </c>
      <c r="E15" s="133" t="s">
        <v>1368</v>
      </c>
    </row>
    <row r="16" spans="1:23">
      <c r="B16" s="412"/>
      <c r="C16" s="415"/>
      <c r="D16" s="133" t="s">
        <v>1355</v>
      </c>
      <c r="E16" s="133" t="s">
        <v>1368</v>
      </c>
    </row>
    <row r="17" spans="2:5">
      <c r="B17" s="412"/>
      <c r="C17" s="415"/>
      <c r="D17" s="133" t="s">
        <v>1356</v>
      </c>
      <c r="E17" s="133" t="s">
        <v>1368</v>
      </c>
    </row>
    <row r="18" spans="2:5">
      <c r="B18" s="412"/>
      <c r="C18" s="415"/>
      <c r="D18" s="133" t="s">
        <v>1357</v>
      </c>
      <c r="E18" s="133" t="s">
        <v>1368</v>
      </c>
    </row>
    <row r="19" spans="2:5">
      <c r="B19" s="412"/>
      <c r="C19" s="415"/>
      <c r="D19" s="133" t="s">
        <v>1358</v>
      </c>
      <c r="E19" s="133" t="s">
        <v>1368</v>
      </c>
    </row>
    <row r="20" spans="2:5">
      <c r="B20" s="412"/>
      <c r="C20" s="415"/>
      <c r="D20" s="133" t="s">
        <v>1359</v>
      </c>
      <c r="E20" s="133" t="s">
        <v>1368</v>
      </c>
    </row>
    <row r="21" spans="2:5">
      <c r="B21" s="413"/>
      <c r="C21" s="416"/>
      <c r="D21" s="133" t="s">
        <v>1360</v>
      </c>
      <c r="E21" s="133" t="s">
        <v>1368</v>
      </c>
    </row>
  </sheetData>
  <sheetProtection algorithmName="SHA-512" hashValue="3PiGPr12pU6WTNcE3/VyryaoGIyL0bpePBRMfPqwIrbK6k+z2GcVV6N/7n6enGAIynU7BWkWDDZ14J+pIgCp9Q==" saltValue="cy6MwMDi/j92L/F/qodksw==" spinCount="100000" sheet="1" objects="1" scenarios="1"/>
  <mergeCells count="4">
    <mergeCell ref="B15:B21"/>
    <mergeCell ref="C15:C21"/>
    <mergeCell ref="B5:B11"/>
    <mergeCell ref="C5:C11"/>
  </mergeCells>
  <phoneticPr fontId="1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2018-06-22T05:46:12Z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